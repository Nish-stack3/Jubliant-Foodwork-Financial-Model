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shul\Downloads\"/>
    </mc:Choice>
  </mc:AlternateContent>
  <xr:revisionPtr revIDLastSave="0" documentId="13_ncr:1_{8729069F-86A4-4493-850F-E4EB92BFA8D0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Dashboard" sheetId="18" r:id="rId1"/>
    <sheet name="Instructions" sheetId="19" r:id="rId2"/>
    <sheet name="Data Sheet" sheetId="6" r:id="rId3"/>
    <sheet name="COMP DATA" sheetId="17" r:id="rId4"/>
    <sheet name="Data Collection" sheetId="12" r:id="rId5"/>
    <sheet name="Historical Financial Statment" sheetId="7" r:id="rId6"/>
    <sheet name="WACC" sheetId="8" r:id="rId7"/>
    <sheet name="Growth Rate" sheetId="11" r:id="rId8"/>
    <sheet name="DCF Valuation" sheetId="13" r:id="rId9"/>
    <sheet name="Comp value" sheetId="16" r:id="rId10"/>
    <sheet name="Football Field Analysis" sheetId="15" r:id="rId11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2" i="18" l="1"/>
  <c r="S5" i="18"/>
  <c r="T5" i="18"/>
  <c r="U5" i="18"/>
  <c r="V5" i="18"/>
  <c r="W5" i="18"/>
  <c r="S6" i="18"/>
  <c r="T6" i="18"/>
  <c r="U6" i="18"/>
  <c r="V6" i="18"/>
  <c r="W6" i="18"/>
  <c r="S7" i="18"/>
  <c r="T7" i="18"/>
  <c r="U7" i="18"/>
  <c r="V7" i="18"/>
  <c r="S8" i="18"/>
  <c r="T8" i="18"/>
  <c r="U8" i="18"/>
  <c r="V8" i="18"/>
  <c r="S9" i="18"/>
  <c r="T9" i="18"/>
  <c r="U9" i="18"/>
  <c r="V9" i="18"/>
  <c r="S10" i="18"/>
  <c r="T10" i="18"/>
  <c r="U10" i="18"/>
  <c r="V10" i="18"/>
  <c r="H15" i="18"/>
  <c r="G15" i="18"/>
  <c r="F15" i="18"/>
  <c r="E15" i="18"/>
  <c r="D15" i="18"/>
  <c r="N16" i="18"/>
  <c r="N15" i="18"/>
  <c r="G20" i="18"/>
  <c r="F20" i="18"/>
  <c r="E20" i="18"/>
  <c r="G19" i="18"/>
  <c r="F19" i="18"/>
  <c r="E19" i="18"/>
  <c r="G18" i="18"/>
  <c r="F18" i="18"/>
  <c r="E18" i="18"/>
  <c r="G17" i="18"/>
  <c r="F17" i="18"/>
  <c r="E17" i="18"/>
  <c r="H16" i="18"/>
  <c r="G16" i="18"/>
  <c r="F16" i="18"/>
  <c r="E16" i="18"/>
  <c r="D16" i="18"/>
  <c r="B10" i="18"/>
  <c r="N14" i="15"/>
  <c r="M14" i="15"/>
  <c r="L14" i="15"/>
  <c r="K14" i="15"/>
  <c r="L13" i="15"/>
  <c r="N13" i="15"/>
  <c r="M13" i="15"/>
  <c r="K13" i="15"/>
  <c r="N12" i="15"/>
  <c r="L12" i="15"/>
  <c r="M12" i="15"/>
  <c r="K12" i="15"/>
  <c r="N11" i="15"/>
  <c r="L11" i="15"/>
  <c r="M11" i="15"/>
  <c r="K11" i="15"/>
  <c r="P30" i="16"/>
  <c r="O30" i="16"/>
  <c r="N30" i="16"/>
  <c r="P29" i="16"/>
  <c r="O29" i="16"/>
  <c r="N29" i="16"/>
  <c r="P27" i="16"/>
  <c r="O27" i="16"/>
  <c r="N27" i="16"/>
  <c r="P25" i="16"/>
  <c r="O25" i="16"/>
  <c r="N25" i="16"/>
  <c r="P18" i="16"/>
  <c r="O18" i="16"/>
  <c r="P16" i="16"/>
  <c r="O16" i="16"/>
  <c r="N16" i="16"/>
  <c r="P15" i="16"/>
  <c r="P22" i="16" s="1"/>
  <c r="O15" i="16"/>
  <c r="N15" i="16"/>
  <c r="P14" i="16"/>
  <c r="O14" i="16"/>
  <c r="N14" i="16"/>
  <c r="P13" i="16"/>
  <c r="O13" i="16"/>
  <c r="N13" i="16"/>
  <c r="N21" i="16" s="1"/>
  <c r="N28" i="16" s="1"/>
  <c r="N26" i="16" s="1"/>
  <c r="P12" i="16"/>
  <c r="P23" i="16" s="1"/>
  <c r="O12" i="16"/>
  <c r="O23" i="16" s="1"/>
  <c r="N12" i="16"/>
  <c r="N23" i="16" s="1"/>
  <c r="L16" i="16"/>
  <c r="K16" i="16"/>
  <c r="J16" i="16"/>
  <c r="L15" i="16"/>
  <c r="K15" i="16"/>
  <c r="J15" i="16"/>
  <c r="L14" i="16"/>
  <c r="K14" i="16"/>
  <c r="J14" i="16"/>
  <c r="L13" i="16"/>
  <c r="K13" i="16"/>
  <c r="J13" i="16"/>
  <c r="L12" i="16"/>
  <c r="K12" i="16"/>
  <c r="J12" i="16"/>
  <c r="H16" i="16"/>
  <c r="G16" i="16"/>
  <c r="F16" i="16"/>
  <c r="E16" i="16"/>
  <c r="D16" i="16"/>
  <c r="H15" i="16"/>
  <c r="G15" i="16"/>
  <c r="F15" i="16"/>
  <c r="E15" i="16"/>
  <c r="D15" i="16"/>
  <c r="H14" i="16"/>
  <c r="G14" i="16"/>
  <c r="F14" i="16"/>
  <c r="E14" i="16"/>
  <c r="D14" i="16"/>
  <c r="H13" i="16"/>
  <c r="G13" i="16"/>
  <c r="F13" i="16"/>
  <c r="E13" i="16"/>
  <c r="D13" i="16"/>
  <c r="H12" i="16"/>
  <c r="G12" i="16"/>
  <c r="F12" i="16"/>
  <c r="E12" i="16"/>
  <c r="D12" i="16"/>
  <c r="B16" i="16"/>
  <c r="B15" i="16"/>
  <c r="B14" i="16"/>
  <c r="B13" i="16"/>
  <c r="B12" i="16"/>
  <c r="D39" i="13"/>
  <c r="D35" i="13"/>
  <c r="D34" i="13"/>
  <c r="D25" i="13"/>
  <c r="D24" i="13"/>
  <c r="B25" i="13"/>
  <c r="K15" i="13"/>
  <c r="J15" i="13"/>
  <c r="I15" i="13"/>
  <c r="H15" i="13"/>
  <c r="G15" i="13"/>
  <c r="F15" i="13"/>
  <c r="D19" i="13"/>
  <c r="I14" i="13"/>
  <c r="J14" i="13" s="1"/>
  <c r="K14" i="13" s="1"/>
  <c r="H14" i="13"/>
  <c r="F9" i="13"/>
  <c r="G9" i="13" s="1"/>
  <c r="H9" i="13" s="1"/>
  <c r="I9" i="13" s="1"/>
  <c r="J9" i="13" s="1"/>
  <c r="K9" i="13" s="1"/>
  <c r="N60" i="11"/>
  <c r="M60" i="11"/>
  <c r="K60" i="11"/>
  <c r="I60" i="11"/>
  <c r="H60" i="11"/>
  <c r="F60" i="11"/>
  <c r="F58" i="11"/>
  <c r="N59" i="11"/>
  <c r="M59" i="11"/>
  <c r="L59" i="11"/>
  <c r="K59" i="11"/>
  <c r="I59" i="11"/>
  <c r="H59" i="11"/>
  <c r="G59" i="11"/>
  <c r="N58" i="11"/>
  <c r="M58" i="11"/>
  <c r="K58" i="11"/>
  <c r="I58" i="11"/>
  <c r="H58" i="11"/>
  <c r="F59" i="11"/>
  <c r="B59" i="11"/>
  <c r="B58" i="11"/>
  <c r="N46" i="11"/>
  <c r="M46" i="11"/>
  <c r="K46" i="11"/>
  <c r="I46" i="11"/>
  <c r="H46" i="11"/>
  <c r="F46" i="11"/>
  <c r="N54" i="11"/>
  <c r="M54" i="11"/>
  <c r="L54" i="11"/>
  <c r="K54" i="11"/>
  <c r="I54" i="11"/>
  <c r="H54" i="11"/>
  <c r="G54" i="11"/>
  <c r="F54" i="11"/>
  <c r="O53" i="11"/>
  <c r="N53" i="11"/>
  <c r="M53" i="11"/>
  <c r="L53" i="11"/>
  <c r="K53" i="11"/>
  <c r="J53" i="11"/>
  <c r="I53" i="11"/>
  <c r="H53" i="11"/>
  <c r="G53" i="11"/>
  <c r="F53" i="11"/>
  <c r="O51" i="11"/>
  <c r="N51" i="11"/>
  <c r="M51" i="11"/>
  <c r="L51" i="11"/>
  <c r="K51" i="11"/>
  <c r="J51" i="11"/>
  <c r="I51" i="11"/>
  <c r="H51" i="11"/>
  <c r="G51" i="11"/>
  <c r="F51" i="11"/>
  <c r="K44" i="11"/>
  <c r="O43" i="11"/>
  <c r="N43" i="11"/>
  <c r="M43" i="11"/>
  <c r="L43" i="11"/>
  <c r="K43" i="11"/>
  <c r="J43" i="11"/>
  <c r="I43" i="11"/>
  <c r="I44" i="11" s="1"/>
  <c r="H43" i="11"/>
  <c r="G43" i="11"/>
  <c r="F43" i="11"/>
  <c r="F44" i="11" s="1"/>
  <c r="N42" i="11"/>
  <c r="M42" i="11"/>
  <c r="M44" i="11" s="1"/>
  <c r="L42" i="11"/>
  <c r="L44" i="11" s="1"/>
  <c r="K42" i="11"/>
  <c r="I42" i="11"/>
  <c r="H42" i="11"/>
  <c r="H44" i="11" s="1"/>
  <c r="G42" i="11"/>
  <c r="G44" i="11" s="1"/>
  <c r="F42" i="11"/>
  <c r="M41" i="11"/>
  <c r="M49" i="11" s="1"/>
  <c r="M56" i="11" s="1"/>
  <c r="O36" i="11"/>
  <c r="N36" i="11"/>
  <c r="M36" i="11"/>
  <c r="L36" i="11"/>
  <c r="K36" i="11"/>
  <c r="J36" i="11"/>
  <c r="I36" i="11"/>
  <c r="H36" i="11"/>
  <c r="G36" i="11"/>
  <c r="F36" i="11"/>
  <c r="O34" i="11"/>
  <c r="N34" i="11"/>
  <c r="M34" i="11"/>
  <c r="L34" i="11"/>
  <c r="K34" i="11"/>
  <c r="J34" i="11"/>
  <c r="I34" i="11"/>
  <c r="H34" i="11"/>
  <c r="G34" i="11"/>
  <c r="O33" i="11"/>
  <c r="N33" i="11"/>
  <c r="M33" i="11"/>
  <c r="L33" i="11"/>
  <c r="K33" i="11"/>
  <c r="J33" i="11"/>
  <c r="I33" i="11"/>
  <c r="H33" i="11"/>
  <c r="G33" i="11"/>
  <c r="O32" i="11"/>
  <c r="N32" i="11"/>
  <c r="M32" i="11"/>
  <c r="L32" i="11"/>
  <c r="K32" i="11"/>
  <c r="J32" i="11"/>
  <c r="I32" i="11"/>
  <c r="H32" i="11"/>
  <c r="G32" i="11"/>
  <c r="O31" i="11"/>
  <c r="N31" i="11"/>
  <c r="M31" i="11"/>
  <c r="L31" i="11"/>
  <c r="K31" i="11"/>
  <c r="J31" i="11"/>
  <c r="I31" i="11"/>
  <c r="H31" i="11"/>
  <c r="G31" i="11"/>
  <c r="O30" i="11"/>
  <c r="N30" i="11"/>
  <c r="M30" i="11"/>
  <c r="L30" i="11"/>
  <c r="K30" i="11"/>
  <c r="J30" i="11"/>
  <c r="I30" i="11"/>
  <c r="H30" i="11"/>
  <c r="G30" i="11"/>
  <c r="O29" i="11"/>
  <c r="N29" i="11"/>
  <c r="M29" i="11"/>
  <c r="L29" i="11"/>
  <c r="K29" i="11"/>
  <c r="J29" i="11"/>
  <c r="I29" i="11"/>
  <c r="H29" i="11"/>
  <c r="G29" i="11"/>
  <c r="O28" i="11"/>
  <c r="N28" i="11"/>
  <c r="M28" i="11"/>
  <c r="L28" i="11"/>
  <c r="K28" i="11"/>
  <c r="J28" i="11"/>
  <c r="I28" i="11"/>
  <c r="H28" i="11"/>
  <c r="G28" i="11"/>
  <c r="O27" i="11"/>
  <c r="O35" i="11" s="1"/>
  <c r="O37" i="11" s="1"/>
  <c r="N27" i="11"/>
  <c r="M27" i="11"/>
  <c r="L27" i="11"/>
  <c r="K27" i="11"/>
  <c r="J27" i="11"/>
  <c r="J35" i="11" s="1"/>
  <c r="J37" i="11" s="1"/>
  <c r="I27" i="11"/>
  <c r="I35" i="11" s="1"/>
  <c r="I37" i="11" s="1"/>
  <c r="H27" i="11"/>
  <c r="G27" i="11"/>
  <c r="F34" i="11"/>
  <c r="F33" i="11"/>
  <c r="F32" i="11"/>
  <c r="F31" i="11"/>
  <c r="F30" i="11"/>
  <c r="F29" i="11"/>
  <c r="F28" i="11"/>
  <c r="F27" i="11"/>
  <c r="B34" i="11"/>
  <c r="B33" i="11"/>
  <c r="B32" i="11"/>
  <c r="B31" i="11"/>
  <c r="B30" i="11"/>
  <c r="B29" i="11"/>
  <c r="B28" i="11"/>
  <c r="B27" i="11"/>
  <c r="O22" i="11"/>
  <c r="O21" i="11"/>
  <c r="N21" i="11"/>
  <c r="M21" i="11"/>
  <c r="L21" i="11"/>
  <c r="K21" i="11"/>
  <c r="J21" i="11"/>
  <c r="I21" i="11"/>
  <c r="H21" i="11"/>
  <c r="G21" i="11"/>
  <c r="O20" i="11"/>
  <c r="N20" i="11"/>
  <c r="M20" i="11"/>
  <c r="L20" i="11"/>
  <c r="K20" i="11"/>
  <c r="J20" i="11"/>
  <c r="I20" i="11"/>
  <c r="H20" i="11"/>
  <c r="G20" i="11"/>
  <c r="O19" i="11"/>
  <c r="N19" i="11"/>
  <c r="M19" i="11"/>
  <c r="L19" i="11"/>
  <c r="K19" i="11"/>
  <c r="J19" i="11"/>
  <c r="I19" i="11"/>
  <c r="H19" i="11"/>
  <c r="G19" i="11"/>
  <c r="G22" i="11" s="1"/>
  <c r="F21" i="11"/>
  <c r="F20" i="11"/>
  <c r="F19" i="11"/>
  <c r="F22" i="11" s="1"/>
  <c r="B21" i="11"/>
  <c r="B20" i="11"/>
  <c r="B19" i="11"/>
  <c r="O15" i="11"/>
  <c r="N15" i="11"/>
  <c r="M15" i="11"/>
  <c r="L15" i="11"/>
  <c r="K15" i="11"/>
  <c r="K16" i="11" s="1"/>
  <c r="J15" i="11"/>
  <c r="I15" i="11"/>
  <c r="H15" i="11"/>
  <c r="G15" i="11"/>
  <c r="O14" i="11"/>
  <c r="N14" i="11"/>
  <c r="M14" i="11"/>
  <c r="L14" i="11"/>
  <c r="K14" i="11"/>
  <c r="J14" i="11"/>
  <c r="I14" i="11"/>
  <c r="H14" i="11"/>
  <c r="G14" i="11"/>
  <c r="F15" i="11"/>
  <c r="F14" i="11"/>
  <c r="O13" i="11"/>
  <c r="N13" i="11"/>
  <c r="M13" i="11"/>
  <c r="L13" i="11"/>
  <c r="K13" i="11"/>
  <c r="J13" i="11"/>
  <c r="I13" i="11"/>
  <c r="H13" i="11"/>
  <c r="G13" i="11"/>
  <c r="O12" i="11"/>
  <c r="O16" i="11" s="1"/>
  <c r="O24" i="11" s="1"/>
  <c r="N12" i="11"/>
  <c r="M12" i="11"/>
  <c r="L12" i="11"/>
  <c r="L16" i="11" s="1"/>
  <c r="K12" i="11"/>
  <c r="J12" i="11"/>
  <c r="J16" i="11" s="1"/>
  <c r="I12" i="11"/>
  <c r="H12" i="11"/>
  <c r="G12" i="11"/>
  <c r="F13" i="11"/>
  <c r="F12" i="11"/>
  <c r="F16" i="11" s="1"/>
  <c r="B15" i="11"/>
  <c r="B14" i="11"/>
  <c r="B13" i="11"/>
  <c r="B12" i="11"/>
  <c r="O9" i="11"/>
  <c r="O41" i="11" s="1"/>
  <c r="O49" i="11" s="1"/>
  <c r="O56" i="11" s="1"/>
  <c r="N9" i="11"/>
  <c r="N41" i="11" s="1"/>
  <c r="N49" i="11" s="1"/>
  <c r="N56" i="11" s="1"/>
  <c r="M9" i="11"/>
  <c r="L9" i="11"/>
  <c r="L41" i="11" s="1"/>
  <c r="L49" i="11" s="1"/>
  <c r="L56" i="11" s="1"/>
  <c r="K9" i="11"/>
  <c r="K41" i="11" s="1"/>
  <c r="K49" i="11" s="1"/>
  <c r="K56" i="11" s="1"/>
  <c r="J9" i="11"/>
  <c r="J41" i="11" s="1"/>
  <c r="J49" i="11" s="1"/>
  <c r="J56" i="11" s="1"/>
  <c r="I9" i="11"/>
  <c r="I41" i="11" s="1"/>
  <c r="I49" i="11" s="1"/>
  <c r="I56" i="11" s="1"/>
  <c r="H9" i="11"/>
  <c r="H41" i="11" s="1"/>
  <c r="H49" i="11" s="1"/>
  <c r="H56" i="11" s="1"/>
  <c r="G9" i="11"/>
  <c r="G41" i="11" s="1"/>
  <c r="G49" i="11" s="1"/>
  <c r="G56" i="11" s="1"/>
  <c r="F9" i="11"/>
  <c r="F41" i="11" s="1"/>
  <c r="F49" i="11" s="1"/>
  <c r="F56" i="11" s="1"/>
  <c r="K27" i="8"/>
  <c r="J21" i="8"/>
  <c r="J20" i="8"/>
  <c r="G21" i="8"/>
  <c r="F27" i="8" s="1"/>
  <c r="G20" i="8"/>
  <c r="H17" i="8"/>
  <c r="D36" i="8"/>
  <c r="H18" i="8"/>
  <c r="H15" i="8"/>
  <c r="H14" i="8"/>
  <c r="N63" i="7"/>
  <c r="M63" i="7"/>
  <c r="L63" i="7"/>
  <c r="K63" i="7"/>
  <c r="J63" i="7"/>
  <c r="I63" i="7"/>
  <c r="H63" i="7"/>
  <c r="G63" i="7"/>
  <c r="F63" i="7"/>
  <c r="E63" i="7"/>
  <c r="N68" i="7"/>
  <c r="M68" i="7"/>
  <c r="L68" i="7"/>
  <c r="K68" i="7"/>
  <c r="J68" i="7"/>
  <c r="I68" i="7"/>
  <c r="H68" i="7"/>
  <c r="G68" i="7"/>
  <c r="F68" i="7"/>
  <c r="N67" i="7"/>
  <c r="M67" i="7"/>
  <c r="L67" i="7"/>
  <c r="K67" i="7"/>
  <c r="J67" i="7"/>
  <c r="I67" i="7"/>
  <c r="H67" i="7"/>
  <c r="G67" i="7"/>
  <c r="F67" i="7"/>
  <c r="N66" i="7"/>
  <c r="M66" i="7"/>
  <c r="L66" i="7"/>
  <c r="K66" i="7"/>
  <c r="J66" i="7"/>
  <c r="I66" i="7"/>
  <c r="H66" i="7"/>
  <c r="G66" i="7"/>
  <c r="F66" i="7"/>
  <c r="E68" i="7"/>
  <c r="E67" i="7"/>
  <c r="E66" i="7"/>
  <c r="N62" i="7"/>
  <c r="M62" i="7"/>
  <c r="L62" i="7"/>
  <c r="K62" i="7"/>
  <c r="J62" i="7"/>
  <c r="I62" i="7"/>
  <c r="H62" i="7"/>
  <c r="G62" i="7"/>
  <c r="F62" i="7"/>
  <c r="N61" i="7"/>
  <c r="M61" i="7"/>
  <c r="L61" i="7"/>
  <c r="K61" i="7"/>
  <c r="J61" i="7"/>
  <c r="I61" i="7"/>
  <c r="H61" i="7"/>
  <c r="G61" i="7"/>
  <c r="F61" i="7"/>
  <c r="N60" i="7"/>
  <c r="M60" i="7"/>
  <c r="L60" i="7"/>
  <c r="K60" i="7"/>
  <c r="J60" i="7"/>
  <c r="I60" i="7"/>
  <c r="H60" i="7"/>
  <c r="G60" i="7"/>
  <c r="F60" i="7"/>
  <c r="E62" i="7"/>
  <c r="E61" i="7"/>
  <c r="E60" i="7"/>
  <c r="N57" i="7"/>
  <c r="M57" i="7"/>
  <c r="L57" i="7"/>
  <c r="K57" i="7"/>
  <c r="J57" i="7"/>
  <c r="I57" i="7"/>
  <c r="H57" i="7"/>
  <c r="G57" i="7"/>
  <c r="F57" i="7"/>
  <c r="N56" i="7"/>
  <c r="M56" i="7"/>
  <c r="L56" i="7"/>
  <c r="K56" i="7"/>
  <c r="J56" i="7"/>
  <c r="I56" i="7"/>
  <c r="H56" i="7"/>
  <c r="G56" i="7"/>
  <c r="F56" i="7"/>
  <c r="N55" i="7"/>
  <c r="M55" i="7"/>
  <c r="L55" i="7"/>
  <c r="K55" i="7"/>
  <c r="J55" i="7"/>
  <c r="I55" i="7"/>
  <c r="H55" i="7"/>
  <c r="G55" i="7"/>
  <c r="F55" i="7"/>
  <c r="N54" i="7"/>
  <c r="M54" i="7"/>
  <c r="L54" i="7"/>
  <c r="K54" i="7"/>
  <c r="J54" i="7"/>
  <c r="I54" i="7"/>
  <c r="H54" i="7"/>
  <c r="G54" i="7"/>
  <c r="F54" i="7"/>
  <c r="F58" i="7" s="1"/>
  <c r="E57" i="7"/>
  <c r="E56" i="7"/>
  <c r="E55" i="7"/>
  <c r="E54" i="7"/>
  <c r="N45" i="7"/>
  <c r="M45" i="7"/>
  <c r="L45" i="7"/>
  <c r="K45" i="7"/>
  <c r="J45" i="7"/>
  <c r="I45" i="7"/>
  <c r="H45" i="7"/>
  <c r="G45" i="7"/>
  <c r="F45" i="7"/>
  <c r="E45" i="7"/>
  <c r="N43" i="7"/>
  <c r="M43" i="7"/>
  <c r="L43" i="7"/>
  <c r="K43" i="7"/>
  <c r="J43" i="7"/>
  <c r="I43" i="7"/>
  <c r="H43" i="7"/>
  <c r="G43" i="7"/>
  <c r="F43" i="7"/>
  <c r="E43" i="7"/>
  <c r="N37" i="7"/>
  <c r="M37" i="7"/>
  <c r="L37" i="7"/>
  <c r="K37" i="7"/>
  <c r="J37" i="7"/>
  <c r="I37" i="7"/>
  <c r="H37" i="7"/>
  <c r="G37" i="7"/>
  <c r="F37" i="7"/>
  <c r="E37" i="7"/>
  <c r="N31" i="7"/>
  <c r="M31" i="7"/>
  <c r="L31" i="7"/>
  <c r="K31" i="7"/>
  <c r="J31" i="7"/>
  <c r="I31" i="7"/>
  <c r="H31" i="7"/>
  <c r="G31" i="7"/>
  <c r="F31" i="7"/>
  <c r="E31" i="7"/>
  <c r="N28" i="7"/>
  <c r="M28" i="7"/>
  <c r="L28" i="7"/>
  <c r="K28" i="7"/>
  <c r="J28" i="7"/>
  <c r="I28" i="7"/>
  <c r="H28" i="7"/>
  <c r="G28" i="7"/>
  <c r="F28" i="7"/>
  <c r="E28" i="7"/>
  <c r="N22" i="7"/>
  <c r="M22" i="7"/>
  <c r="L22" i="7"/>
  <c r="K22" i="7"/>
  <c r="J22" i="7"/>
  <c r="I22" i="7"/>
  <c r="H22" i="7"/>
  <c r="G22" i="7"/>
  <c r="F22" i="7"/>
  <c r="E22" i="7"/>
  <c r="N16" i="7"/>
  <c r="M16" i="7"/>
  <c r="L16" i="7"/>
  <c r="K16" i="7"/>
  <c r="J16" i="7"/>
  <c r="I16" i="7"/>
  <c r="H16" i="7"/>
  <c r="G16" i="7"/>
  <c r="G19" i="7" s="1"/>
  <c r="G20" i="7" s="1"/>
  <c r="F16" i="7"/>
  <c r="E16" i="7"/>
  <c r="N13" i="7"/>
  <c r="M13" i="7"/>
  <c r="L13" i="7"/>
  <c r="K13" i="7"/>
  <c r="J13" i="7"/>
  <c r="I13" i="7"/>
  <c r="H13" i="7"/>
  <c r="G13" i="7"/>
  <c r="F13" i="7"/>
  <c r="E13" i="7"/>
  <c r="B10" i="7"/>
  <c r="E11" i="7"/>
  <c r="F11" i="7"/>
  <c r="G11" i="7"/>
  <c r="H11" i="7"/>
  <c r="I11" i="7"/>
  <c r="J11" i="7"/>
  <c r="K11" i="7"/>
  <c r="L11" i="7"/>
  <c r="M11" i="7"/>
  <c r="N11" i="7"/>
  <c r="B6" i="6"/>
  <c r="E1" i="6"/>
  <c r="O19" i="16" l="1"/>
  <c r="P19" i="16"/>
  <c r="O20" i="16"/>
  <c r="P20" i="16"/>
  <c r="N18" i="16"/>
  <c r="O21" i="16"/>
  <c r="O28" i="16" s="1"/>
  <c r="O26" i="16" s="1"/>
  <c r="N19" i="16"/>
  <c r="P21" i="16"/>
  <c r="P28" i="16" s="1"/>
  <c r="P26" i="16" s="1"/>
  <c r="N20" i="16"/>
  <c r="O22" i="16"/>
  <c r="N22" i="16"/>
  <c r="L24" i="11"/>
  <c r="H35" i="11"/>
  <c r="H37" i="11" s="1"/>
  <c r="K35" i="11"/>
  <c r="K37" i="11" s="1"/>
  <c r="H22" i="11"/>
  <c r="G16" i="11"/>
  <c r="I22" i="11"/>
  <c r="L35" i="11"/>
  <c r="L37" i="11" s="1"/>
  <c r="H16" i="11"/>
  <c r="J22" i="11"/>
  <c r="J24" i="11" s="1"/>
  <c r="M35" i="11"/>
  <c r="M37" i="11" s="1"/>
  <c r="I16" i="11"/>
  <c r="K22" i="11"/>
  <c r="K24" i="11" s="1"/>
  <c r="N35" i="11"/>
  <c r="N37" i="11" s="1"/>
  <c r="F24" i="11"/>
  <c r="L22" i="11"/>
  <c r="M22" i="11"/>
  <c r="F35" i="11"/>
  <c r="F37" i="11" s="1"/>
  <c r="N22" i="11"/>
  <c r="N24" i="11" s="1"/>
  <c r="M16" i="11"/>
  <c r="M24" i="11" s="1"/>
  <c r="N44" i="11"/>
  <c r="N16" i="11"/>
  <c r="G35" i="11"/>
  <c r="G37" i="11" s="1"/>
  <c r="G24" i="11"/>
  <c r="O39" i="11"/>
  <c r="I24" i="11"/>
  <c r="H24" i="11"/>
  <c r="H16" i="8"/>
  <c r="I17" i="8"/>
  <c r="K17" i="8" s="1"/>
  <c r="F26" i="8"/>
  <c r="I18" i="8"/>
  <c r="K18" i="8" s="1"/>
  <c r="D35" i="8"/>
  <c r="I14" i="8"/>
  <c r="K14" i="8" s="1"/>
  <c r="H21" i="8"/>
  <c r="H20" i="8"/>
  <c r="K36" i="8"/>
  <c r="F28" i="8"/>
  <c r="K44" i="8" s="1"/>
  <c r="D37" i="8"/>
  <c r="E36" i="8" s="1"/>
  <c r="I16" i="8"/>
  <c r="K16" i="8" s="1"/>
  <c r="I15" i="8"/>
  <c r="N38" i="7"/>
  <c r="K17" i="7"/>
  <c r="N14" i="7"/>
  <c r="G58" i="7"/>
  <c r="G23" i="7"/>
  <c r="K64" i="7"/>
  <c r="K29" i="7"/>
  <c r="K23" i="7"/>
  <c r="M29" i="7"/>
  <c r="F64" i="7"/>
  <c r="N23" i="7"/>
  <c r="K58" i="7"/>
  <c r="E29" i="7"/>
  <c r="J64" i="7"/>
  <c r="E69" i="7"/>
  <c r="F14" i="7"/>
  <c r="E58" i="7"/>
  <c r="F23" i="7"/>
  <c r="I58" i="7"/>
  <c r="E17" i="7"/>
  <c r="L64" i="7"/>
  <c r="I14" i="7"/>
  <c r="M23" i="7"/>
  <c r="N29" i="7"/>
  <c r="M64" i="7"/>
  <c r="F69" i="7"/>
  <c r="F29" i="7"/>
  <c r="N64" i="7"/>
  <c r="G69" i="7"/>
  <c r="M19" i="7"/>
  <c r="M25" i="7" s="1"/>
  <c r="M34" i="7" s="1"/>
  <c r="M35" i="7" s="1"/>
  <c r="N17" i="7"/>
  <c r="H58" i="7"/>
  <c r="H69" i="7"/>
  <c r="K69" i="7"/>
  <c r="F19" i="7"/>
  <c r="F20" i="7" s="1"/>
  <c r="F32" i="7"/>
  <c r="I69" i="7"/>
  <c r="E64" i="7"/>
  <c r="E23" i="7"/>
  <c r="J58" i="7"/>
  <c r="J69" i="7"/>
  <c r="H32" i="7"/>
  <c r="F17" i="7"/>
  <c r="H29" i="7"/>
  <c r="K38" i="7"/>
  <c r="L58" i="7"/>
  <c r="G64" i="7"/>
  <c r="L69" i="7"/>
  <c r="L32" i="7"/>
  <c r="L38" i="7"/>
  <c r="M58" i="7"/>
  <c r="H64" i="7"/>
  <c r="M69" i="7"/>
  <c r="H17" i="7"/>
  <c r="N58" i="7"/>
  <c r="I64" i="7"/>
  <c r="N69" i="7"/>
  <c r="M17" i="7"/>
  <c r="G32" i="7"/>
  <c r="E19" i="7"/>
  <c r="E25" i="7" s="1"/>
  <c r="M14" i="7"/>
  <c r="I23" i="7"/>
  <c r="L14" i="7"/>
  <c r="H23" i="7"/>
  <c r="G29" i="7"/>
  <c r="F38" i="7"/>
  <c r="J23" i="7"/>
  <c r="E32" i="7"/>
  <c r="M38" i="7"/>
  <c r="G17" i="7"/>
  <c r="H14" i="7"/>
  <c r="G38" i="7"/>
  <c r="H38" i="7"/>
  <c r="J14" i="7"/>
  <c r="I38" i="7"/>
  <c r="K14" i="7"/>
  <c r="H19" i="7"/>
  <c r="L29" i="7"/>
  <c r="J38" i="7"/>
  <c r="L23" i="7"/>
  <c r="N19" i="7"/>
  <c r="L17" i="7"/>
  <c r="M20" i="7"/>
  <c r="K32" i="7"/>
  <c r="K19" i="7"/>
  <c r="J17" i="7"/>
  <c r="I29" i="7"/>
  <c r="M32" i="7"/>
  <c r="E38" i="7"/>
  <c r="G14" i="7"/>
  <c r="J29" i="7"/>
  <c r="N32" i="7"/>
  <c r="I19" i="7"/>
  <c r="D17" i="18" s="1"/>
  <c r="I17" i="7"/>
  <c r="L19" i="7"/>
  <c r="I32" i="7"/>
  <c r="J32" i="7"/>
  <c r="J19" i="7"/>
  <c r="G25" i="7"/>
  <c r="G26" i="7" s="1"/>
  <c r="N20" i="7" l="1"/>
  <c r="W7" i="18"/>
  <c r="H17" i="18"/>
  <c r="K52" i="11"/>
  <c r="K39" i="11"/>
  <c r="L52" i="11"/>
  <c r="L39" i="11"/>
  <c r="L46" i="11" s="1"/>
  <c r="L58" i="11" s="1"/>
  <c r="L60" i="11" s="1"/>
  <c r="F39" i="11"/>
  <c r="I52" i="11"/>
  <c r="I39" i="11"/>
  <c r="N39" i="11"/>
  <c r="N52" i="11"/>
  <c r="O52" i="11"/>
  <c r="J52" i="11"/>
  <c r="J39" i="11"/>
  <c r="H39" i="11"/>
  <c r="H52" i="11"/>
  <c r="M52" i="11"/>
  <c r="M39" i="11"/>
  <c r="G39" i="11"/>
  <c r="G46" i="11" s="1"/>
  <c r="G58" i="11" s="1"/>
  <c r="G60" i="11" s="1"/>
  <c r="G52" i="11"/>
  <c r="I21" i="8"/>
  <c r="F35" i="8" s="1"/>
  <c r="L44" i="8" s="1"/>
  <c r="E35" i="8"/>
  <c r="E37" i="8" s="1"/>
  <c r="F37" i="8" s="1"/>
  <c r="F36" i="8" s="1"/>
  <c r="L43" i="8" s="1"/>
  <c r="K15" i="8"/>
  <c r="K20" i="8" s="1"/>
  <c r="I20" i="8"/>
  <c r="F25" i="7"/>
  <c r="F34" i="7" s="1"/>
  <c r="F35" i="7" s="1"/>
  <c r="E71" i="7"/>
  <c r="E72" i="7" s="1"/>
  <c r="K71" i="7"/>
  <c r="K72" i="7" s="1"/>
  <c r="F71" i="7"/>
  <c r="F72" i="7" s="1"/>
  <c r="L71" i="7"/>
  <c r="L72" i="7" s="1"/>
  <c r="J71" i="7"/>
  <c r="J72" i="7" s="1"/>
  <c r="H71" i="7"/>
  <c r="H72" i="7" s="1"/>
  <c r="N71" i="7"/>
  <c r="N72" i="7" s="1"/>
  <c r="M71" i="7"/>
  <c r="M72" i="7" s="1"/>
  <c r="E20" i="7"/>
  <c r="G71" i="7"/>
  <c r="G72" i="7" s="1"/>
  <c r="I71" i="7"/>
  <c r="I72" i="7" s="1"/>
  <c r="E34" i="7"/>
  <c r="E35" i="7" s="1"/>
  <c r="E26" i="7"/>
  <c r="H25" i="7"/>
  <c r="H20" i="7"/>
  <c r="N25" i="7"/>
  <c r="M26" i="7"/>
  <c r="M40" i="7"/>
  <c r="M41" i="7" s="1"/>
  <c r="J20" i="7"/>
  <c r="J25" i="7"/>
  <c r="G34" i="7"/>
  <c r="G35" i="7" s="1"/>
  <c r="K20" i="7"/>
  <c r="K25" i="7"/>
  <c r="L25" i="7"/>
  <c r="L20" i="7"/>
  <c r="I25" i="7"/>
  <c r="I20" i="7"/>
  <c r="M47" i="7"/>
  <c r="D18" i="18" l="1"/>
  <c r="J42" i="11"/>
  <c r="J44" i="11" s="1"/>
  <c r="N34" i="7"/>
  <c r="N17" i="18"/>
  <c r="H18" i="18"/>
  <c r="F10" i="18"/>
  <c r="O42" i="11"/>
  <c r="O44" i="11" s="1"/>
  <c r="W8" i="18"/>
  <c r="E39" i="8"/>
  <c r="K21" i="8"/>
  <c r="K34" i="8" s="1"/>
  <c r="F39" i="8"/>
  <c r="K35" i="8" s="1"/>
  <c r="F40" i="7"/>
  <c r="F47" i="7" s="1"/>
  <c r="F26" i="7"/>
  <c r="M49" i="7"/>
  <c r="M50" i="7" s="1"/>
  <c r="F41" i="7"/>
  <c r="G40" i="7"/>
  <c r="E40" i="7"/>
  <c r="E41" i="7" s="1"/>
  <c r="N40" i="7"/>
  <c r="N35" i="7"/>
  <c r="F49" i="7"/>
  <c r="F50" i="7" s="1"/>
  <c r="H26" i="7"/>
  <c r="H34" i="7"/>
  <c r="N26" i="7"/>
  <c r="I34" i="7"/>
  <c r="D19" i="18" s="1"/>
  <c r="I26" i="7"/>
  <c r="K34" i="7"/>
  <c r="K26" i="7"/>
  <c r="L34" i="7"/>
  <c r="L26" i="7"/>
  <c r="J34" i="7"/>
  <c r="J26" i="7"/>
  <c r="G41" i="7"/>
  <c r="G47" i="7"/>
  <c r="G49" i="7"/>
  <c r="G50" i="7" s="1"/>
  <c r="J54" i="11" l="1"/>
  <c r="J59" i="11" s="1"/>
  <c r="J46" i="11"/>
  <c r="J58" i="11" s="1"/>
  <c r="F11" i="13"/>
  <c r="O46" i="11"/>
  <c r="O58" i="11" s="1"/>
  <c r="N10" i="18"/>
  <c r="O54" i="11"/>
  <c r="J10" i="18"/>
  <c r="H20" i="18"/>
  <c r="W10" i="18"/>
  <c r="W9" i="18"/>
  <c r="N18" i="18"/>
  <c r="H19" i="18"/>
  <c r="K37" i="8"/>
  <c r="K28" i="8" s="1"/>
  <c r="K29" i="8" s="1"/>
  <c r="K43" i="8" s="1"/>
  <c r="L45" i="8" s="1"/>
  <c r="H35" i="7"/>
  <c r="H40" i="7"/>
  <c r="N41" i="7"/>
  <c r="N49" i="7"/>
  <c r="N50" i="7" s="1"/>
  <c r="N19" i="18" s="1"/>
  <c r="N47" i="7"/>
  <c r="E49" i="7"/>
  <c r="E50" i="7" s="1"/>
  <c r="E47" i="7"/>
  <c r="J40" i="7"/>
  <c r="J35" i="7"/>
  <c r="L35" i="7"/>
  <c r="L40" i="7"/>
  <c r="K40" i="7"/>
  <c r="K35" i="7"/>
  <c r="I35" i="7"/>
  <c r="I40" i="7"/>
  <c r="D20" i="18" s="1"/>
  <c r="J60" i="11" l="1"/>
  <c r="F12" i="13"/>
  <c r="O59" i="11"/>
  <c r="O60" i="11"/>
  <c r="F13" i="13"/>
  <c r="H47" i="7"/>
  <c r="H49" i="7"/>
  <c r="H50" i="7" s="1"/>
  <c r="H41" i="7"/>
  <c r="J41" i="7"/>
  <c r="J47" i="7"/>
  <c r="J49" i="7"/>
  <c r="J50" i="7" s="1"/>
  <c r="I47" i="7"/>
  <c r="I49" i="7"/>
  <c r="I50" i="7" s="1"/>
  <c r="I41" i="7"/>
  <c r="K49" i="7"/>
  <c r="K50" i="7" s="1"/>
  <c r="K47" i="7"/>
  <c r="K41" i="7"/>
  <c r="L49" i="7"/>
  <c r="L50" i="7" s="1"/>
  <c r="L47" i="7"/>
  <c r="L41" i="7"/>
  <c r="O63" i="11" l="1"/>
  <c r="O62" i="11"/>
  <c r="N25" i="18" l="1"/>
  <c r="D18" i="13"/>
  <c r="G11" i="13" s="1"/>
  <c r="H11" i="13" l="1"/>
  <c r="G13" i="13"/>
  <c r="G16" i="13" s="1"/>
  <c r="I11" i="13" l="1"/>
  <c r="H13" i="13"/>
  <c r="H16" i="13" s="1"/>
  <c r="J11" i="13" l="1"/>
  <c r="I13" i="13"/>
  <c r="I16" i="13" s="1"/>
  <c r="K11" i="13" l="1"/>
  <c r="J13" i="13"/>
  <c r="J16" i="13" s="1"/>
  <c r="K13" i="13" l="1"/>
  <c r="K16" i="13" s="1"/>
  <c r="D30" i="13" s="1"/>
  <c r="N28" i="18" s="1"/>
  <c r="D23" i="13"/>
  <c r="D26" i="13" s="1"/>
  <c r="D31" i="13" s="1"/>
  <c r="D32" i="13" l="1"/>
  <c r="D37" i="13" s="1"/>
  <c r="D41" i="13" s="1"/>
  <c r="N31" i="18"/>
  <c r="D45" i="13"/>
  <c r="F23" i="13"/>
</calcChain>
</file>

<file path=xl/sharedStrings.xml><?xml version="1.0" encoding="utf-8"?>
<sst xmlns="http://schemas.openxmlformats.org/spreadsheetml/2006/main" count="401" uniqueCount="313">
  <si>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</si>
  <si>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</si>
  <si>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</si>
  <si>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</si>
  <si>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</si>
  <si>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</si>
  <si>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</si>
  <si>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</si>
  <si>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</si>
  <si>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</si>
  <si>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</si>
  <si>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</si>
  <si>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</si>
  <si>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</si>
  <si>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</si>
  <si>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</si>
  <si>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</si>
  <si>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</si>
  <si>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</si>
  <si>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</si>
  <si>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</si>
  <si>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</si>
  <si>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</si>
  <si>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</si>
  <si>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</si>
  <si>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</si>
  <si>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</si>
  <si>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</si>
  <si>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</si>
  <si>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</si>
  <si>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</si>
  <si>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</si>
  <si>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</si>
  <si>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</si>
  <si>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JUBILANT FOODWORKS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</si>
  <si>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</si>
  <si>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</si>
  <si>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</si>
  <si>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</si>
  <si>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</si>
  <si>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</si>
  <si>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</si>
  <si>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</si>
  <si>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</si>
  <si>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</si>
  <si>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</si>
  <si>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</si>
  <si>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</si>
  <si>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</si>
  <si>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</si>
  <si>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</si>
  <si>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</si>
  <si>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</si>
  <si>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</si>
  <si>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</si>
  <si>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</si>
  <si>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Particulars</t>
  </si>
  <si>
    <t>Income Statement</t>
  </si>
  <si>
    <t>#</t>
  </si>
  <si>
    <t>COGS</t>
  </si>
  <si>
    <t>COGS Margin</t>
  </si>
  <si>
    <t>Gross Profit</t>
  </si>
  <si>
    <t>Gross Margin</t>
  </si>
  <si>
    <t>Selling &amp; General Expenses</t>
  </si>
  <si>
    <t>S&amp;G Expenses Margin</t>
  </si>
  <si>
    <t>EBITDA</t>
  </si>
  <si>
    <t>EBITDA Margin</t>
  </si>
  <si>
    <t>Interest Margin</t>
  </si>
  <si>
    <t>Depreciation Margin</t>
  </si>
  <si>
    <t>EBT</t>
  </si>
  <si>
    <t>EBT Margin</t>
  </si>
  <si>
    <t>Tax Margin</t>
  </si>
  <si>
    <t xml:space="preserve">Net Profit </t>
  </si>
  <si>
    <t>Net Profit Margin</t>
  </si>
  <si>
    <t>Number of Shareholder</t>
  </si>
  <si>
    <t xml:space="preserve">Retained Earning </t>
  </si>
  <si>
    <t>Retained Earning %</t>
  </si>
  <si>
    <t>-</t>
  </si>
  <si>
    <t>Balance Sheet</t>
  </si>
  <si>
    <t>Total Liabilities</t>
  </si>
  <si>
    <t>Total Non Current Assets</t>
  </si>
  <si>
    <t>Total Current Assets</t>
  </si>
  <si>
    <t>Total Assets</t>
  </si>
  <si>
    <t>Check</t>
  </si>
  <si>
    <t>Cash Flow Statement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</si>
  <si>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</si>
  <si>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</si>
  <si>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</si>
  <si>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</si>
  <si>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</si>
  <si>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</si>
  <si>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</si>
  <si>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</si>
  <si>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</si>
  <si>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</si>
  <si>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</si>
  <si>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</si>
  <si>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</si>
  <si>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</si>
  <si>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</si>
  <si>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</si>
  <si>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</si>
  <si>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</si>
  <si>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</si>
  <si>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</si>
  <si>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r>
      <t>Cash from Operating Activity </t>
    </r>
    <r>
      <rPr>
        <b/>
        <sz val="11"/>
        <color rgb="FF665EFD"/>
        <rFont val="Calibri"/>
        <family val="2"/>
        <scheme val="minor"/>
      </rPr>
      <t>-</t>
    </r>
  </si>
  <si>
    <r>
      <t>Cash from Investing Activity </t>
    </r>
    <r>
      <rPr>
        <b/>
        <sz val="11"/>
        <color rgb="FF665EFD"/>
        <rFont val="Calibri"/>
        <family val="2"/>
        <scheme val="minor"/>
      </rPr>
      <t>-</t>
    </r>
  </si>
  <si>
    <r>
      <t>Cash from Financing Activity </t>
    </r>
    <r>
      <rPr>
        <b/>
        <sz val="11"/>
        <color rgb="FF665EFD"/>
        <rFont val="Calibri"/>
        <family val="2"/>
        <scheme val="minor"/>
      </rPr>
      <t>-</t>
    </r>
  </si>
  <si>
    <t>Note:- All detail are given in INR(cr.) otherwise it mention by Symbol</t>
  </si>
  <si>
    <t>Peer Company</t>
  </si>
  <si>
    <t>Name of the Comp</t>
  </si>
  <si>
    <t>Country</t>
  </si>
  <si>
    <t>Total Debt</t>
  </si>
  <si>
    <t xml:space="preserve">Market </t>
  </si>
  <si>
    <t>Capitalization</t>
  </si>
  <si>
    <t>Tax Rate</t>
  </si>
  <si>
    <t>Debt /</t>
  </si>
  <si>
    <t>Equity</t>
  </si>
  <si>
    <t xml:space="preserve">Levered 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</si>
  <si>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</si>
  <si>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Unlevered 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</si>
  <si>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</si>
  <si>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S.No.</t>
  </si>
  <si>
    <t>Company</t>
  </si>
  <si>
    <t>Jubilant Food.</t>
  </si>
  <si>
    <t>Travel Food</t>
  </si>
  <si>
    <t>Devyani Intl.</t>
  </si>
  <si>
    <t>Westlife Food</t>
  </si>
  <si>
    <t>Restaurant Brand</t>
  </si>
  <si>
    <t>Sapphire Foods</t>
  </si>
  <si>
    <t>United Foodbrands</t>
  </si>
  <si>
    <t>CMP Rs.</t>
  </si>
  <si>
    <t>Debt Rs.Cr.</t>
  </si>
  <si>
    <t>Mar Cap Rs.Cr.</t>
  </si>
  <si>
    <t>India</t>
  </si>
  <si>
    <t>Capital</t>
  </si>
  <si>
    <t>High</t>
  </si>
  <si>
    <t>Low</t>
  </si>
  <si>
    <t>Average</t>
  </si>
  <si>
    <t>Median</t>
  </si>
  <si>
    <t>Cost of Debt</t>
  </si>
  <si>
    <t>Pre Tax Cost of Debt</t>
  </si>
  <si>
    <t>Post Tax Cost of Debt</t>
  </si>
  <si>
    <t>Cost of Equity</t>
  </si>
  <si>
    <t>Risk Free Rate</t>
  </si>
  <si>
    <t>Equity Resarch Premium</t>
  </si>
  <si>
    <t>Levered Beta</t>
  </si>
  <si>
    <t>Market Structured</t>
  </si>
  <si>
    <t xml:space="preserve">Current </t>
  </si>
  <si>
    <t>Target</t>
  </si>
  <si>
    <t>Total Capital</t>
  </si>
  <si>
    <t>Levered Beta 1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</si>
  <si>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1</t>
    </r>
  </si>
  <si>
    <t>Market comp of Unlevered Beta</t>
  </si>
  <si>
    <t>Target Debt /Equity</t>
  </si>
  <si>
    <t>Debt /Equity</t>
  </si>
  <si>
    <t>Weighted Average Cost of Capital</t>
  </si>
  <si>
    <t>Total Cost</t>
  </si>
  <si>
    <t>Total Weighted</t>
  </si>
  <si>
    <t xml:space="preserve"> </t>
  </si>
  <si>
    <t>Cost Of Debt</t>
  </si>
  <si>
    <t>Calculation of ROIC</t>
  </si>
  <si>
    <t>Current Assets</t>
  </si>
  <si>
    <t>Equity Capital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</si>
  <si>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</si>
  <si>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</si>
  <si>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</si>
  <si>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</si>
  <si>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</si>
  <si>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</si>
  <si>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</si>
  <si>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</si>
  <si>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</si>
  <si>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</si>
  <si>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</si>
  <si>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</si>
  <si>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</si>
  <si>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</si>
  <si>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</si>
  <si>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</si>
  <si>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</si>
  <si>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</si>
  <si>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</si>
  <si>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</si>
  <si>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</si>
  <si>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</si>
  <si>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</si>
  <si>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</si>
  <si>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 xml:space="preserve">Trade receivables 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</si>
  <si>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</si>
  <si>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</si>
  <si>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</si>
  <si>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Current Liabilities</t>
  </si>
  <si>
    <t>Total Current Liabilities</t>
  </si>
  <si>
    <t>Net Working Capital</t>
  </si>
  <si>
    <t>Non Current Assets</t>
  </si>
  <si>
    <t>Net Non Current Assets</t>
  </si>
  <si>
    <t>Reinvested Capital</t>
  </si>
  <si>
    <t>Calculation of NOPAT</t>
  </si>
  <si>
    <t>EBIT</t>
  </si>
  <si>
    <t>NOPAT</t>
  </si>
  <si>
    <t>ROIC</t>
  </si>
  <si>
    <t>Calculation of Reinvestment Rate</t>
  </si>
  <si>
    <t>Net Capex</t>
  </si>
  <si>
    <t>Change in Working Capital</t>
  </si>
  <si>
    <t>Calculation of Intrinsic Growth Rate</t>
  </si>
  <si>
    <t>Reinvestment Rate</t>
  </si>
  <si>
    <t>Intrinsic Growth Rate</t>
  </si>
  <si>
    <t>5 year Average</t>
  </si>
  <si>
    <t>5 year Median</t>
  </si>
  <si>
    <t>Calculation of PV OF FCFF</t>
  </si>
  <si>
    <t>Less - Reinvestment Rate</t>
  </si>
  <si>
    <t>FCFF</t>
  </si>
  <si>
    <t>Monthly Period Exemptions</t>
  </si>
  <si>
    <t>Discounted Factor</t>
  </si>
  <si>
    <t>PV of FCFF</t>
  </si>
  <si>
    <t>Growth Rate</t>
  </si>
  <si>
    <t>WACC</t>
  </si>
  <si>
    <t>Terminal Growth Rate</t>
  </si>
  <si>
    <t>Calculation of Terminal Value</t>
  </si>
  <si>
    <t>fcff(1-n)</t>
  </si>
  <si>
    <t>Terminal Value</t>
  </si>
  <si>
    <t>Calculation of Equity Value per Share</t>
  </si>
  <si>
    <t>PV of Terminal Value</t>
  </si>
  <si>
    <t>PV of Operating Assets</t>
  </si>
  <si>
    <t>Add - Cash</t>
  </si>
  <si>
    <t>Less - Debt</t>
  </si>
  <si>
    <t>PV of Equity Value</t>
  </si>
  <si>
    <t>Number of Shareholders</t>
  </si>
  <si>
    <t>Equity Value per Share</t>
  </si>
  <si>
    <t>CPM</t>
  </si>
  <si>
    <t>Discount</t>
  </si>
  <si>
    <t>Sensitivity Analysis</t>
  </si>
  <si>
    <t>Football Field Analysis</t>
  </si>
  <si>
    <t>Comparable Price</t>
  </si>
  <si>
    <t>DCF Bull</t>
  </si>
  <si>
    <t>DCF Base</t>
  </si>
  <si>
    <t>DCF Bear</t>
  </si>
  <si>
    <t>Open Low</t>
  </si>
  <si>
    <t xml:space="preserve">Open High </t>
  </si>
  <si>
    <t xml:space="preserve">Company </t>
  </si>
  <si>
    <t>Ticker</t>
  </si>
  <si>
    <t>Share Price</t>
  </si>
  <si>
    <t>Share Outstanding</t>
  </si>
  <si>
    <t>Enterprise Value</t>
  </si>
  <si>
    <t>Revenue</t>
  </si>
  <si>
    <t>Net Income</t>
  </si>
  <si>
    <t>EV/EBITDA</t>
  </si>
  <si>
    <t>EV/ Revenue</t>
  </si>
  <si>
    <t>P/E</t>
  </si>
  <si>
    <t>No. Eq. Shares Cr.</t>
  </si>
  <si>
    <t>Sales Rs.Cr.</t>
  </si>
  <si>
    <t>NP 12M Rs.Cr.</t>
  </si>
  <si>
    <t>EV</t>
  </si>
  <si>
    <t>75 th Percentile</t>
  </si>
  <si>
    <t>25 th Percentile</t>
  </si>
  <si>
    <t>Calculation of Implied Equity value per Share</t>
  </si>
  <si>
    <t>Implied Market Capitalization</t>
  </si>
  <si>
    <t>Implied Enterprise Value</t>
  </si>
  <si>
    <t>Number of Shares</t>
  </si>
  <si>
    <t>Implied Equity value per Share</t>
  </si>
  <si>
    <t>Financial Dashboard</t>
  </si>
  <si>
    <t>THREE- STATEMENT FINANCIAL DASHBOARD</t>
  </si>
  <si>
    <t>2026 Revenue</t>
  </si>
  <si>
    <t>FY2026 NET PROFIT</t>
  </si>
  <si>
    <t>FY2026 EBITDA</t>
  </si>
  <si>
    <t>Financial Growth</t>
  </si>
  <si>
    <t>Metric</t>
  </si>
  <si>
    <t>Net Profit</t>
  </si>
  <si>
    <t>Key Ratios</t>
  </si>
  <si>
    <t>Current Ratio</t>
  </si>
  <si>
    <t>Liquidity Ratio</t>
  </si>
  <si>
    <t>ROE</t>
  </si>
  <si>
    <t>Return on Capital Employed</t>
  </si>
  <si>
    <t>Sustainable Growth</t>
  </si>
  <si>
    <t>GROWTH RATE</t>
  </si>
  <si>
    <t>DCF VALUE</t>
  </si>
  <si>
    <t>FINANCIAL MODELLING GUIDE &amp; COLOUR CODING</t>
  </si>
  <si>
    <t>Understand the Purpose     l</t>
  </si>
  <si>
    <t>Follow the Colour Conventions     l</t>
  </si>
  <si>
    <t xml:space="preserve">Know the Purpose     l     </t>
  </si>
  <si>
    <t>1.  Purpose of This Workbook</t>
  </si>
  <si>
    <t>This workbook contain historical financial statement , financial analysis , financial forecasting, valuation</t>
  </si>
  <si>
    <t>and equity analysis. This guide explains the purpose of each worksheet and the colour connection used</t>
  </si>
  <si>
    <t>throught the model</t>
  </si>
  <si>
    <t>2. Worksheet Guide</t>
  </si>
  <si>
    <t>Sheet Name</t>
  </si>
  <si>
    <t>Purpose / Use</t>
  </si>
  <si>
    <t>Dashboard</t>
  </si>
  <si>
    <t>Data  Sheet</t>
  </si>
  <si>
    <t>Data Collection</t>
  </si>
  <si>
    <t>Comp Data</t>
  </si>
  <si>
    <t>Historical Financial Statement</t>
  </si>
  <si>
    <t>DCF Valuation</t>
  </si>
  <si>
    <t>Comp Value</t>
  </si>
  <si>
    <t>Contains raw company data used as a main source for financial analysis.</t>
  </si>
  <si>
    <t>Contain Raw Balance Sheet data for Calculation of net capex.</t>
  </si>
  <si>
    <t>Present Historical Financial Statement for analyse past performance of company.</t>
  </si>
  <si>
    <t>Contain the raw comparable data of different peer companies for WACC calculation.</t>
  </si>
  <si>
    <t>Summaries key financial metrics, valuation results and performance through charts.</t>
  </si>
  <si>
    <t>Estimated the intrinsic Equity value of Company by using cash flow and discount.</t>
  </si>
  <si>
    <t>Calculate historical growth rate and supports future financial projects.</t>
  </si>
  <si>
    <t>Calculate the Weighted Average Cost of Capital used as a calculative part to calculate Discounted Factor.</t>
  </si>
  <si>
    <t>Estimated Equity value of Company by using Peer Companied Comparable data.</t>
  </si>
  <si>
    <t>Compares values ranges obtained from different valuation methodologies.</t>
  </si>
  <si>
    <t>3. Colour Coding Convention</t>
  </si>
  <si>
    <t>Colour / Format</t>
  </si>
  <si>
    <t>Blue Font</t>
  </si>
  <si>
    <t>Black Font</t>
  </si>
  <si>
    <t>Meaning</t>
  </si>
  <si>
    <t xml:space="preserve">Harcoded Inputs and mutually </t>
  </si>
  <si>
    <t>entered data</t>
  </si>
  <si>
    <t>Formula and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</si>
</sst>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0.00%;\(0.00%\);\-"/>
    <numFmt numFmtId="168" formatCode="#,##0.0"/>
    <numFmt numFmtId="169" formatCode="0.000"/>
    <numFmt numFmtId="170" formatCode="mmm/yy&quot;A&quot;"/>
    <numFmt numFmtId="171" formatCode="mmm/yy&quot;E&quot;"/>
    <numFmt numFmtId="172" formatCode="0.00&quot;x&quot;"/>
    <numFmt numFmtId="173" formatCode="0.0&quot;x&quot;"/>
    <numFmt numFmtId="175" formatCode="yyyy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b/>
      <sz val="11"/>
      <color rgb="FF22222F"/>
      <name val="Calibri"/>
      <family val="2"/>
      <scheme val="minor"/>
    </font>
    <font>
      <b/>
      <sz val="11"/>
      <color rgb="FF665EFD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F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0000"/>
      <name val="Calibri"/>
      <family val="2"/>
      <scheme val="minor"/>
    </font>
    <font>
      <sz val="26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rgb="FF00006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3333FF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B3F3C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DE8CA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thick">
        <color rgb="FF002060"/>
      </bottom>
      <diagonal/>
    </border>
    <border>
      <left style="thin">
        <color theme="7" tint="0.59996337778862885"/>
      </left>
      <right/>
      <top style="thin">
        <color theme="7" tint="0.59996337778862885"/>
      </top>
      <bottom/>
      <diagonal/>
    </border>
    <border>
      <left/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/>
      <top/>
      <bottom/>
      <diagonal/>
    </border>
    <border>
      <left/>
      <right style="thin">
        <color theme="7" tint="0.59996337778862885"/>
      </right>
      <top/>
      <bottom/>
      <diagonal/>
    </border>
    <border>
      <left style="thin">
        <color theme="7" tint="0.59996337778862885"/>
      </left>
      <right/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64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0" fillId="5" borderId="0" xfId="0" applyFill="1"/>
    <xf numFmtId="17" fontId="0" fillId="0" borderId="0" xfId="0" applyNumberFormat="1"/>
    <xf numFmtId="0" fontId="5" fillId="5" borderId="0" xfId="0" applyFont="1" applyFill="1"/>
    <xf numFmtId="17" fontId="5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6" fontId="0" fillId="0" borderId="0" xfId="0" applyNumberFormat="1"/>
    <xf numFmtId="10" fontId="0" fillId="0" borderId="0" xfId="4" applyNumberFormat="1" applyFont="1"/>
    <xf numFmtId="168" fontId="0" fillId="0" borderId="0" xfId="0" applyNumberFormat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167" fontId="7" fillId="7" borderId="0" xfId="4" applyNumberFormat="1" applyFont="1" applyFill="1"/>
    <xf numFmtId="166" fontId="1" fillId="0" borderId="0" xfId="0" applyNumberFormat="1" applyFont="1"/>
    <xf numFmtId="43" fontId="1" fillId="0" borderId="0" xfId="1" applyFont="1" applyFill="1" applyBorder="1"/>
    <xf numFmtId="0" fontId="8" fillId="8" borderId="2" xfId="0" applyFont="1" applyFill="1" applyBorder="1" applyAlignment="1">
      <alignment horizontal="left" vertical="center" indent="2"/>
    </xf>
    <xf numFmtId="0" fontId="8" fillId="8" borderId="2" xfId="0" applyFont="1" applyFill="1" applyBorder="1" applyAlignment="1">
      <alignment horizontal="right" vertical="center" wrapText="1"/>
    </xf>
    <xf numFmtId="3" fontId="8" fillId="8" borderId="2" xfId="0" applyNumberFormat="1" applyFont="1" applyFill="1" applyBorder="1" applyAlignment="1">
      <alignment horizontal="right" vertical="center" wrapText="1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indent="2"/>
    </xf>
    <xf numFmtId="0" fontId="8" fillId="4" borderId="2" xfId="0" applyFont="1" applyFill="1" applyBorder="1" applyAlignment="1">
      <alignment horizontal="right" vertical="center" wrapText="1"/>
    </xf>
    <xf numFmtId="3" fontId="8" fillId="4" borderId="2" xfId="0" applyNumberFormat="1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 wrapText="1"/>
    </xf>
    <xf numFmtId="3" fontId="10" fillId="4" borderId="0" xfId="0" applyNumberFormat="1" applyFont="1" applyFill="1" applyAlignment="1">
      <alignment horizontal="right" vertical="center" wrapText="1"/>
    </xf>
    <xf numFmtId="3" fontId="10" fillId="8" borderId="0" xfId="0" applyNumberFormat="1" applyFont="1" applyFill="1" applyAlignment="1">
      <alignment horizontal="right" vertical="center" wrapText="1"/>
    </xf>
    <xf numFmtId="0" fontId="11" fillId="8" borderId="2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3" fillId="8" borderId="2" xfId="0" applyFont="1" applyFill="1" applyBorder="1" applyAlignment="1">
      <alignment horizontal="left" vertical="center" indent="2"/>
    </xf>
    <xf numFmtId="0" fontId="13" fillId="4" borderId="2" xfId="0" applyFont="1" applyFill="1" applyBorder="1" applyAlignment="1">
      <alignment horizontal="left" vertical="center" indent="2"/>
    </xf>
    <xf numFmtId="0" fontId="13" fillId="8" borderId="2" xfId="0" applyFont="1" applyFill="1" applyBorder="1" applyAlignment="1">
      <alignment horizontal="left" vertical="center"/>
    </xf>
    <xf numFmtId="0" fontId="15" fillId="0" borderId="0" xfId="0" applyFont="1"/>
    <xf numFmtId="0" fontId="0" fillId="0" borderId="4" xfId="0" applyBorder="1"/>
    <xf numFmtId="0" fontId="0" fillId="0" borderId="5" xfId="0" applyBorder="1"/>
    <xf numFmtId="0" fontId="10" fillId="4" borderId="0" xfId="0" applyFont="1" applyFill="1" applyAlignment="1">
      <alignment horizontal="left" vertical="center" indent="2"/>
    </xf>
    <xf numFmtId="0" fontId="10" fillId="8" borderId="0" xfId="0" applyFont="1" applyFill="1" applyAlignment="1">
      <alignment horizontal="left" vertical="center" indent="2"/>
    </xf>
    <xf numFmtId="0" fontId="17" fillId="5" borderId="1" xfId="0" applyFont="1" applyFill="1" applyBorder="1" applyAlignment="1">
      <alignment horizontal="left" vertical="center" indent="2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right" vertical="center" wrapText="1"/>
    </xf>
    <xf numFmtId="0" fontId="18" fillId="8" borderId="0" xfId="0" applyFont="1" applyFill="1" applyAlignment="1">
      <alignment horizontal="left" vertical="center" indent="2"/>
    </xf>
    <xf numFmtId="0" fontId="19" fillId="8" borderId="0" xfId="2" applyFont="1" applyFill="1" applyAlignment="1" applyProtection="1">
      <alignment horizontal="left" vertical="center"/>
    </xf>
    <xf numFmtId="0" fontId="18" fillId="8" borderId="0" xfId="0" applyFont="1" applyFill="1" applyAlignment="1">
      <alignment horizontal="right" vertical="center" wrapText="1"/>
    </xf>
    <xf numFmtId="0" fontId="12" fillId="4" borderId="0" xfId="0" applyFont="1" applyFill="1" applyAlignment="1">
      <alignment horizontal="left" vertical="center" indent="2"/>
    </xf>
    <xf numFmtId="0" fontId="19" fillId="4" borderId="0" xfId="2" applyFont="1" applyFill="1" applyAlignment="1" applyProtection="1">
      <alignment horizontal="left" vertical="center"/>
    </xf>
    <xf numFmtId="0" fontId="12" fillId="4" borderId="0" xfId="0" applyFont="1" applyFill="1" applyAlignment="1">
      <alignment horizontal="right" vertical="center" wrapText="1"/>
    </xf>
    <xf numFmtId="0" fontId="12" fillId="8" borderId="0" xfId="0" applyFont="1" applyFill="1" applyAlignment="1">
      <alignment horizontal="left" vertical="center" indent="2"/>
    </xf>
    <xf numFmtId="0" fontId="12" fillId="8" borderId="0" xfId="0" applyFont="1" applyFill="1" applyAlignment="1">
      <alignment horizontal="right" vertical="center" wrapText="1"/>
    </xf>
    <xf numFmtId="10" fontId="20" fillId="0" borderId="0" xfId="4" applyNumberFormat="1" applyFont="1"/>
    <xf numFmtId="0" fontId="20" fillId="0" borderId="0" xfId="0" applyFont="1"/>
    <xf numFmtId="169" fontId="0" fillId="0" borderId="0" xfId="0" applyNumberFormat="1"/>
    <xf numFmtId="2" fontId="0" fillId="0" borderId="0" xfId="0" applyNumberFormat="1"/>
    <xf numFmtId="10" fontId="20" fillId="0" borderId="5" xfId="4" applyNumberFormat="1" applyFont="1" applyBorder="1"/>
    <xf numFmtId="10" fontId="0" fillId="0" borderId="5" xfId="4" applyNumberFormat="1" applyFont="1" applyBorder="1"/>
    <xf numFmtId="0" fontId="20" fillId="0" borderId="5" xfId="0" applyFont="1" applyBorder="1"/>
    <xf numFmtId="2" fontId="0" fillId="0" borderId="5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2" fontId="0" fillId="0" borderId="4" xfId="0" applyNumberFormat="1" applyBorder="1"/>
    <xf numFmtId="0" fontId="0" fillId="0" borderId="6" xfId="0" applyBorder="1"/>
    <xf numFmtId="10" fontId="0" fillId="0" borderId="6" xfId="0" applyNumberFormat="1" applyBorder="1"/>
    <xf numFmtId="10" fontId="0" fillId="0" borderId="6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0" fontId="0" fillId="9" borderId="6" xfId="4" applyNumberFormat="1" applyFont="1" applyFill="1" applyBorder="1"/>
    <xf numFmtId="2" fontId="0" fillId="9" borderId="6" xfId="0" applyNumberFormat="1" applyFill="1" applyBorder="1"/>
    <xf numFmtId="10" fontId="0" fillId="9" borderId="3" xfId="4" applyNumberFormat="1" applyFont="1" applyFill="1" applyBorder="1"/>
    <xf numFmtId="0" fontId="8" fillId="4" borderId="2" xfId="0" applyFont="1" applyFill="1" applyBorder="1" applyAlignment="1">
      <alignment horizontal="left" vertical="center"/>
    </xf>
    <xf numFmtId="17" fontId="17" fillId="5" borderId="1" xfId="0" applyNumberFormat="1" applyFont="1" applyFill="1" applyBorder="1" applyAlignment="1">
      <alignment horizontal="right" vertical="center" wrapText="1"/>
    </xf>
    <xf numFmtId="0" fontId="1" fillId="0" borderId="5" xfId="0" applyFont="1" applyBorder="1"/>
    <xf numFmtId="0" fontId="1" fillId="0" borderId="7" xfId="0" applyFont="1" applyBorder="1"/>
    <xf numFmtId="166" fontId="1" fillId="0" borderId="7" xfId="0" applyNumberFormat="1" applyFont="1" applyBorder="1"/>
    <xf numFmtId="0" fontId="2" fillId="5" borderId="0" xfId="0" applyFont="1" applyFill="1"/>
    <xf numFmtId="10" fontId="1" fillId="0" borderId="7" xfId="4" applyNumberFormat="1" applyFont="1" applyBorder="1"/>
    <xf numFmtId="17" fontId="2" fillId="5" borderId="0" xfId="0" applyNumberFormat="1" applyFont="1" applyFill="1"/>
    <xf numFmtId="166" fontId="0" fillId="0" borderId="0" xfId="0" applyNumberFormat="1" applyAlignment="1">
      <alignment horizontal="center"/>
    </xf>
    <xf numFmtId="0" fontId="1" fillId="0" borderId="4" xfId="0" applyFont="1" applyBorder="1"/>
    <xf numFmtId="10" fontId="1" fillId="0" borderId="4" xfId="0" applyNumberFormat="1" applyFont="1" applyBorder="1"/>
    <xf numFmtId="10" fontId="1" fillId="0" borderId="5" xfId="0" applyNumberFormat="1" applyFont="1" applyBorder="1"/>
    <xf numFmtId="170" fontId="5" fillId="5" borderId="0" xfId="0" applyNumberFormat="1" applyFont="1" applyFill="1"/>
    <xf numFmtId="171" fontId="5" fillId="5" borderId="0" xfId="0" applyNumberFormat="1" applyFont="1" applyFill="1"/>
    <xf numFmtId="166" fontId="0" fillId="9" borderId="0" xfId="0" applyNumberFormat="1" applyFill="1"/>
    <xf numFmtId="10" fontId="0" fillId="9" borderId="0" xfId="0" applyNumberFormat="1" applyFill="1"/>
    <xf numFmtId="0" fontId="0" fillId="9" borderId="0" xfId="0" applyFill="1"/>
    <xf numFmtId="172" fontId="0" fillId="0" borderId="0" xfId="0" applyNumberFormat="1"/>
    <xf numFmtId="166" fontId="5" fillId="0" borderId="0" xfId="0" applyNumberFormat="1" applyFont="1"/>
    <xf numFmtId="0" fontId="21" fillId="10" borderId="0" xfId="0" applyFont="1" applyFill="1"/>
    <xf numFmtId="0" fontId="0" fillId="7" borderId="0" xfId="0" applyFill="1"/>
    <xf numFmtId="0" fontId="5" fillId="5" borderId="0" xfId="0" applyFont="1" applyFill="1" applyAlignment="1">
      <alignment wrapText="1"/>
    </xf>
    <xf numFmtId="173" fontId="0" fillId="0" borderId="0" xfId="0" applyNumberFormat="1"/>
    <xf numFmtId="173" fontId="0" fillId="6" borderId="0" xfId="0" applyNumberFormat="1" applyFill="1"/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2" fillId="7" borderId="0" xfId="0" applyFont="1" applyFill="1" applyAlignment="1">
      <alignment vertical="top"/>
    </xf>
    <xf numFmtId="0" fontId="5" fillId="7" borderId="0" xfId="0" applyFont="1" applyFill="1" applyAlignment="1">
      <alignment vertical="top"/>
    </xf>
    <xf numFmtId="0" fontId="23" fillId="11" borderId="0" xfId="0" applyFont="1" applyFill="1" applyAlignment="1">
      <alignment horizontal="center" vertical="top"/>
    </xf>
    <xf numFmtId="0" fontId="25" fillId="12" borderId="0" xfId="0" applyFont="1" applyFill="1" applyAlignment="1">
      <alignment horizontal="center" vertical="center"/>
    </xf>
    <xf numFmtId="168" fontId="24" fillId="16" borderId="0" xfId="0" applyNumberFormat="1" applyFont="1" applyFill="1" applyAlignment="1">
      <alignment horizontal="center" vertical="center"/>
    </xf>
    <xf numFmtId="168" fontId="24" fillId="18" borderId="0" xfId="0" applyNumberFormat="1" applyFont="1" applyFill="1" applyAlignment="1">
      <alignment horizontal="center" vertical="center"/>
    </xf>
    <xf numFmtId="168" fontId="24" fillId="20" borderId="0" xfId="0" applyNumberFormat="1" applyFont="1" applyFill="1" applyAlignment="1">
      <alignment horizontal="center" vertical="center"/>
    </xf>
    <xf numFmtId="168" fontId="24" fillId="19" borderId="0" xfId="0" applyNumberFormat="1" applyFont="1" applyFill="1" applyAlignment="1">
      <alignment horizontal="center" vertical="center"/>
    </xf>
    <xf numFmtId="0" fontId="5" fillId="21" borderId="0" xfId="0" applyFont="1" applyFill="1"/>
    <xf numFmtId="17" fontId="5" fillId="21" borderId="0" xfId="0" applyNumberFormat="1" applyFont="1" applyFill="1"/>
    <xf numFmtId="167" fontId="21" fillId="7" borderId="0" xfId="4" applyNumberFormat="1" applyFont="1" applyFill="1"/>
    <xf numFmtId="0" fontId="0" fillId="22" borderId="0" xfId="0" applyFill="1"/>
    <xf numFmtId="167" fontId="21" fillId="22" borderId="0" xfId="4" applyNumberFormat="1" applyFont="1" applyFill="1"/>
    <xf numFmtId="10" fontId="0" fillId="22" borderId="0" xfId="4" applyNumberFormat="1" applyFont="1" applyFill="1"/>
    <xf numFmtId="0" fontId="5" fillId="0" borderId="0" xfId="0" applyFont="1"/>
    <xf numFmtId="175" fontId="5" fillId="0" borderId="0" xfId="0" applyNumberFormat="1" applyFont="1"/>
    <xf numFmtId="0" fontId="25" fillId="13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10" fontId="24" fillId="16" borderId="0" xfId="4" applyNumberFormat="1" applyFont="1" applyFill="1" applyAlignment="1">
      <alignment horizontal="center" vertical="center"/>
    </xf>
    <xf numFmtId="10" fontId="24" fillId="18" borderId="0" xfId="4" applyNumberFormat="1" applyFont="1" applyFill="1" applyAlignment="1">
      <alignment horizontal="center" vertical="center"/>
    </xf>
    <xf numFmtId="0" fontId="26" fillId="11" borderId="0" xfId="0" applyFont="1" applyFill="1" applyAlignment="1">
      <alignment horizontal="center"/>
    </xf>
    <xf numFmtId="0" fontId="5" fillId="11" borderId="0" xfId="0" applyFont="1" applyFill="1" applyAlignment="1"/>
    <xf numFmtId="0" fontId="0" fillId="22" borderId="8" xfId="0" applyFill="1" applyBorder="1"/>
    <xf numFmtId="0" fontId="0" fillId="22" borderId="9" xfId="0" applyFill="1" applyBorder="1"/>
    <xf numFmtId="0" fontId="0" fillId="22" borderId="10" xfId="0" applyFill="1" applyBorder="1"/>
    <xf numFmtId="0" fontId="27" fillId="22" borderId="11" xfId="0" applyFont="1" applyFill="1" applyBorder="1"/>
    <xf numFmtId="0" fontId="0" fillId="22" borderId="0" xfId="0" applyFill="1" applyBorder="1"/>
    <xf numFmtId="0" fontId="0" fillId="22" borderId="12" xfId="0" applyFill="1" applyBorder="1"/>
    <xf numFmtId="0" fontId="0" fillId="22" borderId="11" xfId="0" applyFill="1" applyBorder="1"/>
    <xf numFmtId="0" fontId="0" fillId="22" borderId="13" xfId="0" applyFill="1" applyBorder="1"/>
    <xf numFmtId="0" fontId="0" fillId="22" borderId="14" xfId="0" applyFill="1" applyBorder="1"/>
    <xf numFmtId="0" fontId="0" fillId="22" borderId="15" xfId="0" applyFill="1" applyBorder="1"/>
    <xf numFmtId="0" fontId="28" fillId="5" borderId="0" xfId="0" applyFont="1" applyFill="1" applyAlignment="1">
      <alignment horizontal="left"/>
    </xf>
    <xf numFmtId="0" fontId="0" fillId="0" borderId="0" xfId="0" applyAlignment="1"/>
    <xf numFmtId="0" fontId="5" fillId="13" borderId="9" xfId="0" applyFont="1" applyFill="1" applyBorder="1"/>
    <xf numFmtId="0" fontId="0" fillId="22" borderId="9" xfId="0" applyFill="1" applyBorder="1" applyAlignment="1">
      <alignment horizontal="center" wrapText="1"/>
    </xf>
    <xf numFmtId="0" fontId="0" fillId="22" borderId="10" xfId="0" applyFill="1" applyBorder="1" applyAlignment="1">
      <alignment horizontal="center" wrapText="1"/>
    </xf>
    <xf numFmtId="0" fontId="5" fillId="22" borderId="0" xfId="0" applyFont="1" applyFill="1" applyBorder="1"/>
    <xf numFmtId="0" fontId="5" fillId="23" borderId="0" xfId="0" applyFont="1" applyFill="1" applyBorder="1"/>
    <xf numFmtId="0" fontId="0" fillId="22" borderId="0" xfId="0" applyFill="1" applyBorder="1" applyAlignment="1">
      <alignment horizontal="center" wrapText="1"/>
    </xf>
    <xf numFmtId="0" fontId="0" fillId="22" borderId="12" xfId="0" applyFill="1" applyBorder="1" applyAlignment="1">
      <alignment horizontal="center" wrapText="1"/>
    </xf>
    <xf numFmtId="0" fontId="5" fillId="24" borderId="0" xfId="0" applyFont="1" applyFill="1" applyBorder="1"/>
    <xf numFmtId="0" fontId="5" fillId="26" borderId="0" xfId="0" applyFont="1" applyFill="1" applyBorder="1"/>
    <xf numFmtId="0" fontId="5" fillId="15" borderId="0" xfId="0" applyFont="1" applyFill="1" applyBorder="1"/>
    <xf numFmtId="0" fontId="5" fillId="17" borderId="0" xfId="0" applyFont="1" applyFill="1" applyBorder="1"/>
    <xf numFmtId="0" fontId="5" fillId="25" borderId="0" xfId="0" applyFont="1" applyFill="1" applyBorder="1"/>
    <xf numFmtId="0" fontId="5" fillId="27" borderId="14" xfId="0" applyFont="1" applyFill="1" applyBorder="1"/>
    <xf numFmtId="0" fontId="0" fillId="22" borderId="14" xfId="0" applyFill="1" applyBorder="1" applyAlignment="1">
      <alignment horizontal="center" wrapText="1"/>
    </xf>
    <xf numFmtId="0" fontId="0" fillId="22" borderId="15" xfId="0" applyFill="1" applyBorder="1" applyAlignment="1">
      <alignment horizontal="center" wrapText="1"/>
    </xf>
    <xf numFmtId="0" fontId="29" fillId="28" borderId="9" xfId="0" applyFont="1" applyFill="1" applyBorder="1" applyAlignment="1">
      <alignment horizontal="center" vertical="center"/>
    </xf>
    <xf numFmtId="0" fontId="29" fillId="28" borderId="0" xfId="0" applyFont="1" applyFill="1" applyBorder="1" applyAlignment="1">
      <alignment horizontal="center" vertical="center"/>
    </xf>
    <xf numFmtId="0" fontId="30" fillId="28" borderId="0" xfId="0" applyFont="1" applyFill="1" applyAlignment="1">
      <alignment horizontal="center" vertical="center"/>
    </xf>
    <xf numFmtId="0" fontId="0" fillId="28" borderId="8" xfId="0" applyFill="1" applyBorder="1"/>
    <xf numFmtId="0" fontId="0" fillId="28" borderId="9" xfId="0" applyFill="1" applyBorder="1"/>
    <xf numFmtId="0" fontId="0" fillId="28" borderId="10" xfId="0" applyFill="1" applyBorder="1"/>
    <xf numFmtId="0" fontId="20" fillId="22" borderId="11" xfId="0" applyFont="1" applyFill="1" applyBorder="1"/>
    <xf numFmtId="166" fontId="20" fillId="0" borderId="0" xfId="0" applyNumberFormat="1" applyFont="1"/>
    <xf numFmtId="166" fontId="31" fillId="0" borderId="0" xfId="0" applyNumberFormat="1" applyFont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2">
    <dxf>
      <font>
        <color rgb="FF00B050"/>
      </font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3333FF"/>
      <color rgb="FF000099"/>
      <color rgb="FF003399"/>
      <color rgb="FF000066"/>
      <color rgb="FF003366"/>
      <color rgb="FF99FF66"/>
      <color rgb="FFB1C1D9"/>
      <color rgb="FF000000"/>
      <color rgb="FFCDE8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Metric</a:t>
            </a:r>
            <a:r>
              <a:rPr lang="en-IN" baseline="0"/>
              <a:t> Growth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Dashboard!$S$6:$W$6</c:f>
              <c:numCache>
                <c:formatCode>General</c:formatCode>
                <c:ptCount val="5"/>
                <c:pt idx="0">
                  <c:v>4396.12</c:v>
                </c:pt>
                <c:pt idx="1">
                  <c:v>5158.25</c:v>
                </c:pt>
                <c:pt idx="2">
                  <c:v>5655.09</c:v>
                </c:pt>
                <c:pt idx="3">
                  <c:v>8104.49</c:v>
                </c:pt>
                <c:pt idx="4">
                  <c:v>9512.51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5-4299-BE0B-2CA22DB98D73}"/>
            </c:ext>
          </c:extLst>
        </c:ser>
        <c:ser>
          <c:idx val="1"/>
          <c:order val="1"/>
          <c:tx>
            <c:strRef>
              <c:f>Dashboard!$R$7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Dashboard!$S$7:$W$7</c:f>
              <c:numCache>
                <c:formatCode>General</c:formatCode>
                <c:ptCount val="5"/>
                <c:pt idx="0">
                  <c:v>3120.67</c:v>
                </c:pt>
                <c:pt idx="1">
                  <c:v>3617.54</c:v>
                </c:pt>
                <c:pt idx="2">
                  <c:v>3870.84</c:v>
                </c:pt>
                <c:pt idx="3">
                  <c:v>5789.37</c:v>
                </c:pt>
                <c:pt idx="4">
                  <c:v>7278.18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5-4299-BE0B-2CA22DB98D73}"/>
            </c:ext>
          </c:extLst>
        </c:ser>
        <c:ser>
          <c:idx val="2"/>
          <c:order val="2"/>
          <c:tx>
            <c:strRef>
              <c:f>Dashboard!$R$8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Dashboard!$S$8:$W$8</c:f>
              <c:numCache>
                <c:formatCode>General</c:formatCode>
                <c:ptCount val="5"/>
                <c:pt idx="0">
                  <c:v>2096.2600000000002</c:v>
                </c:pt>
                <c:pt idx="1">
                  <c:v>2383.7599999999998</c:v>
                </c:pt>
                <c:pt idx="2">
                  <c:v>2500.4400000000005</c:v>
                </c:pt>
                <c:pt idx="3">
                  <c:v>3851.72</c:v>
                </c:pt>
                <c:pt idx="4">
                  <c:v>5018.0600000000004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5-4299-BE0B-2CA22DB98D73}"/>
            </c:ext>
          </c:extLst>
        </c:ser>
        <c:ser>
          <c:idx val="3"/>
          <c:order val="3"/>
          <c:tx>
            <c:strRef>
              <c:f>Dashboard!$R$9</c:f>
              <c:strCache>
                <c:ptCount val="1"/>
                <c:pt idx="0">
                  <c:v>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Dashboard!$S$9:$W$9</c:f>
              <c:numCache>
                <c:formatCode>General</c:formatCode>
                <c:ptCount val="5"/>
                <c:pt idx="0">
                  <c:v>1527.1200000000003</c:v>
                </c:pt>
                <c:pt idx="1">
                  <c:v>1696.6399999999999</c:v>
                </c:pt>
                <c:pt idx="2">
                  <c:v>1614.7100000000005</c:v>
                </c:pt>
                <c:pt idx="3">
                  <c:v>2536.08</c:v>
                </c:pt>
                <c:pt idx="4">
                  <c:v>3623.34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5-4299-BE0B-2CA22DB98D73}"/>
            </c:ext>
          </c:extLst>
        </c:ser>
        <c:ser>
          <c:idx val="4"/>
          <c:order val="4"/>
          <c:tx>
            <c:strRef>
              <c:f>Dashboard!$R$10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Dashboard!$S$10:$W$10</c:f>
              <c:numCache>
                <c:formatCode>General</c:formatCode>
                <c:ptCount val="5"/>
                <c:pt idx="0">
                  <c:v>1381.9400000000003</c:v>
                </c:pt>
                <c:pt idx="1">
                  <c:v>1560.9399999999998</c:v>
                </c:pt>
                <c:pt idx="2">
                  <c:v>1529.7400000000005</c:v>
                </c:pt>
                <c:pt idx="3">
                  <c:v>2452.66</c:v>
                </c:pt>
                <c:pt idx="4">
                  <c:v>3468.86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5-4299-BE0B-2CA22DB98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849488"/>
        <c:axId val="984071376"/>
      </c:barChart>
      <c:dateAx>
        <c:axId val="1047849488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071376"/>
        <c:crosses val="autoZero"/>
        <c:auto val="1"/>
        <c:lblOffset val="100"/>
        <c:baseTimeUnit val="years"/>
      </c:dateAx>
      <c:valAx>
        <c:axId val="9840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8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Football</a:t>
            </a:r>
            <a:r>
              <a:rPr lang="en-IN" sz="1600" b="1" baseline="0">
                <a:solidFill>
                  <a:srgbClr val="002060"/>
                </a:solidFill>
              </a:rPr>
              <a:t> Field Analysis</a:t>
            </a:r>
          </a:p>
          <a:p>
            <a:pPr>
              <a:defRPr sz="1600" b="1">
                <a:solidFill>
                  <a:srgbClr val="002060"/>
                </a:solidFill>
              </a:defRPr>
            </a:pPr>
            <a:endParaRPr lang="en-IN" sz="16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4856114542568405"/>
          <c:y val="3.0395136778115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338145231846"/>
          <c:y val="0.16245370370370371"/>
          <c:w val="0.85232174103237091"/>
          <c:h val="0.61498432487605714"/>
        </c:manualLayout>
      </c:layout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Analysis'!$K$11:$N$11</c:f>
              <c:numCache>
                <c:formatCode>#,##0.0;\(#,##0.0\);\-</c:formatCode>
                <c:ptCount val="4"/>
                <c:pt idx="0">
                  <c:v>221.83745606635262</c:v>
                </c:pt>
                <c:pt idx="1">
                  <c:v>221.83745606635262</c:v>
                </c:pt>
                <c:pt idx="2">
                  <c:v>594.58700431690738</c:v>
                </c:pt>
                <c:pt idx="3">
                  <c:v>594.58700431690738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A-4A32-813C-A368E9E9F6C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Analysis'!$K$12:$N$12</c:f>
              <c:numCache>
                <c:formatCode>#,##0.0;\(#,##0.0\);\-</c:formatCode>
                <c:ptCount val="4"/>
                <c:pt idx="0">
                  <c:v>1006.5521948347201</c:v>
                </c:pt>
                <c:pt idx="1">
                  <c:v>1006.5521948347201</c:v>
                </c:pt>
                <c:pt idx="2">
                  <c:v>2061.2924636259258</c:v>
                </c:pt>
                <c:pt idx="3">
                  <c:v>2061.2924636259258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A-4A32-813C-A368E9E9F6C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Analysis'!$K$13:$N$13</c:f>
              <c:numCache>
                <c:formatCode>#,##0.0;\(#,##0.0\);\-</c:formatCode>
                <c:ptCount val="4"/>
                <c:pt idx="0">
                  <c:v>986.72072738530335</c:v>
                </c:pt>
                <c:pt idx="1">
                  <c:v>986.72072738530335</c:v>
                </c:pt>
                <c:pt idx="2">
                  <c:v>1956.8134747362312</c:v>
                </c:pt>
                <c:pt idx="3">
                  <c:v>1956.8134747362312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BA-4A32-813C-A368E9E9F6C6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Analysis'!$K$14:$N$14</c:f>
              <c:numCache>
                <c:formatCode>#,##0.0;\(#,##0.0\);\-</c:formatCode>
                <c:ptCount val="4"/>
                <c:pt idx="0">
                  <c:v>769.23563435669882</c:v>
                </c:pt>
                <c:pt idx="1">
                  <c:v>769.23563435669882</c:v>
                </c:pt>
                <c:pt idx="2">
                  <c:v>1138.3947284336211</c:v>
                </c:pt>
                <c:pt idx="3">
                  <c:v>1138.3947284336211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BA-4A32-813C-A368E9E9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58771167"/>
        <c:axId val="861745583"/>
      </c:stockChart>
      <c:catAx>
        <c:axId val="8587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5583"/>
        <c:crosses val="autoZero"/>
        <c:auto val="1"/>
        <c:lblAlgn val="ctr"/>
        <c:lblOffset val="100"/>
        <c:noMultiLvlLbl val="0"/>
      </c:catAx>
      <c:valAx>
        <c:axId val="86174558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0</xdr:row>
      <xdr:rowOff>91440</xdr:rowOff>
    </xdr:from>
    <xdr:to>
      <xdr:col>3</xdr:col>
      <xdr:colOff>533401</xdr:colOff>
      <xdr:row>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3D53D-AECA-4925-A746-5DAA98F75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1" y="91440"/>
          <a:ext cx="1584960" cy="7315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22860</xdr:rowOff>
    </xdr:from>
    <xdr:to>
      <xdr:col>8</xdr:col>
      <xdr:colOff>304800</xdr:colOff>
      <xdr:row>36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34278A-1030-86B2-6E35-124C4477A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0</xdr:row>
      <xdr:rowOff>167640</xdr:rowOff>
    </xdr:from>
    <xdr:to>
      <xdr:col>1</xdr:col>
      <xdr:colOff>607060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F35797-AD03-5BCC-3007-9DB9C98A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167640"/>
          <a:ext cx="52324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4</xdr:row>
      <xdr:rowOff>144781</xdr:rowOff>
    </xdr:from>
    <xdr:to>
      <xdr:col>1</xdr:col>
      <xdr:colOff>577401</xdr:colOff>
      <xdr:row>7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1419DD-169D-769D-7A7B-73A1E037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6301"/>
          <a:ext cx="516441" cy="548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152400</xdr:rowOff>
    </xdr:from>
    <xdr:to>
      <xdr:col>1</xdr:col>
      <xdr:colOff>2301240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2797D4-2562-6F52-145F-21726CBC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152400"/>
          <a:ext cx="2331719" cy="1127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152400</xdr:rowOff>
    </xdr:from>
    <xdr:to>
      <xdr:col>4</xdr:col>
      <xdr:colOff>297179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1EB0E-426B-4AAE-B9BC-DD07A912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152400"/>
          <a:ext cx="2331719" cy="1127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</xdr:row>
      <xdr:rowOff>7620</xdr:rowOff>
    </xdr:from>
    <xdr:to>
      <xdr:col>4</xdr:col>
      <xdr:colOff>480059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7091C-045E-4638-8704-43FB92F9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90500"/>
          <a:ext cx="2331719" cy="11277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289559</xdr:colOff>
      <xdr:row>7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0DFD7-26D1-49C1-B62E-95D7F0FA0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182880"/>
          <a:ext cx="2331719" cy="1127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472439</xdr:colOff>
      <xdr:row>7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2F0C9-B771-4F9F-96DB-D641F176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182880"/>
          <a:ext cx="2331719" cy="1127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</xdr:row>
      <xdr:rowOff>7620</xdr:rowOff>
    </xdr:from>
    <xdr:to>
      <xdr:col>4</xdr:col>
      <xdr:colOff>480059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D9950-9B95-47A8-A1F8-2E5E273AA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90500"/>
          <a:ext cx="2331719" cy="112776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7</xdr:row>
      <xdr:rowOff>114300</xdr:rowOff>
    </xdr:from>
    <xdr:to>
      <xdr:col>7</xdr:col>
      <xdr:colOff>106680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E0EFC-67B9-6325-A265-B25922882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251460</xdr:colOff>
      <xdr:row>16</xdr:row>
      <xdr:rowOff>7620</xdr:rowOff>
    </xdr:from>
    <xdr:to>
      <xdr:col>7</xdr:col>
      <xdr:colOff>121920</xdr:colOff>
      <xdr:row>16</xdr:row>
      <xdr:rowOff>22860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AF2826B-71F5-3A51-D2DD-DF794A363A4B}"/>
            </a:ext>
          </a:extLst>
        </xdr:cNvPr>
        <xdr:cNvCxnSpPr/>
      </xdr:nvCxnSpPr>
      <xdr:spPr>
        <a:xfrm flipV="1">
          <a:off x="381000" y="2933700"/>
          <a:ext cx="3528060" cy="15240"/>
        </a:xfrm>
        <a:prstGeom prst="line">
          <a:avLst/>
        </a:prstGeom>
        <a:ln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DEVYANI/consolidated/" TargetMode="External"/><Relationship Id="rId7" Type="http://schemas.openxmlformats.org/officeDocument/2006/relationships/hyperlink" Target="https://www.screener.in/company/UFBL/consolidated/" TargetMode="External"/><Relationship Id="rId2" Type="http://schemas.openxmlformats.org/officeDocument/2006/relationships/hyperlink" Target="https://www.screener.in/company/TRAVELFOOD/consolidated/" TargetMode="External"/><Relationship Id="rId1" Type="http://schemas.openxmlformats.org/officeDocument/2006/relationships/hyperlink" Target="https://www.screener.in/company/JUBLFOOD/consolidated/" TargetMode="External"/><Relationship Id="rId6" Type="http://schemas.openxmlformats.org/officeDocument/2006/relationships/hyperlink" Target="https://www.screener.in/company/SAPPHIRE/consolidated/" TargetMode="External"/><Relationship Id="rId5" Type="http://schemas.openxmlformats.org/officeDocument/2006/relationships/hyperlink" Target="https://www.screener.in/company/RBA/consolidated/" TargetMode="External"/><Relationship Id="rId4" Type="http://schemas.openxmlformats.org/officeDocument/2006/relationships/hyperlink" Target="https://www.screener.in/company/WESTLIFE/consolidated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33C2-8D55-423D-86D8-94814AFC5879}">
  <sheetPr>
    <tabColor rgb="FF00B050"/>
  </sheetPr>
  <dimension ref="B1:W32"/>
  <sheetViews>
    <sheetView showGridLines="0" topLeftCell="B1" workbookViewId="0">
      <selection activeCell="Q18" sqref="Q18"/>
    </sheetView>
  </sheetViews>
  <sheetFormatPr defaultRowHeight="14.4" x14ac:dyDescent="0.3"/>
  <cols>
    <col min="1" max="1" width="1.88671875" customWidth="1"/>
  </cols>
  <sheetData>
    <row r="1" spans="2:23" ht="14.4" customHeight="1" x14ac:dyDescent="0.3">
      <c r="E1" s="105" t="s">
        <v>261</v>
      </c>
      <c r="F1" s="106"/>
      <c r="G1" s="106"/>
      <c r="H1" s="106"/>
      <c r="I1" s="106"/>
      <c r="J1" s="106"/>
      <c r="K1" s="106"/>
    </row>
    <row r="2" spans="2:23" ht="14.4" customHeight="1" x14ac:dyDescent="0.3">
      <c r="E2" s="107" t="s">
        <v>262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2:23" ht="14.4" customHeight="1" x14ac:dyDescent="0.3"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2:23" ht="14.4" customHeight="1" x14ac:dyDescent="0.3"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2:23" x14ac:dyDescent="0.3">
      <c r="E5" s="106"/>
      <c r="F5" s="106"/>
      <c r="G5" s="106"/>
      <c r="H5" s="106"/>
      <c r="I5" s="106"/>
      <c r="J5" s="106"/>
      <c r="K5" s="106"/>
      <c r="R5" s="119"/>
      <c r="S5" s="120">
        <f>D15</f>
        <v>44651</v>
      </c>
      <c r="T5" s="120">
        <f t="shared" ref="T5:W5" si="0">E15</f>
        <v>45016</v>
      </c>
      <c r="U5" s="120">
        <f t="shared" si="0"/>
        <v>45382</v>
      </c>
      <c r="V5" s="120">
        <f t="shared" si="0"/>
        <v>45747</v>
      </c>
      <c r="W5" s="120">
        <f t="shared" si="0"/>
        <v>46112</v>
      </c>
    </row>
    <row r="6" spans="2:23" x14ac:dyDescent="0.3">
      <c r="R6" s="119" t="s">
        <v>1</v>
      </c>
      <c r="S6" s="119">
        <f>'Data Sheet'!G17</f>
        <v>4396.12</v>
      </c>
      <c r="T6" s="119">
        <f>'Data Sheet'!H17</f>
        <v>5158.25</v>
      </c>
      <c r="U6" s="119">
        <f>'Data Sheet'!I17</f>
        <v>5655.09</v>
      </c>
      <c r="V6" s="119">
        <f>'Data Sheet'!J17</f>
        <v>8104.49</v>
      </c>
      <c r="W6" s="119">
        <f>'Data Sheet'!K17</f>
        <v>9512.51</v>
      </c>
    </row>
    <row r="7" spans="2:23" x14ac:dyDescent="0.3">
      <c r="B7" s="108" t="s">
        <v>263</v>
      </c>
      <c r="C7" s="108"/>
      <c r="D7" s="108"/>
      <c r="F7" s="121" t="s">
        <v>265</v>
      </c>
      <c r="G7" s="121"/>
      <c r="H7" s="121"/>
      <c r="J7" s="122" t="s">
        <v>264</v>
      </c>
      <c r="K7" s="122"/>
      <c r="L7" s="122"/>
      <c r="N7" s="123" t="s">
        <v>200</v>
      </c>
      <c r="O7" s="123"/>
      <c r="P7" s="123"/>
      <c r="R7" s="119" t="s">
        <v>61</v>
      </c>
      <c r="S7" s="119">
        <f>'Historical Financial Statment'!J19</f>
        <v>3120.67</v>
      </c>
      <c r="T7" s="119">
        <f>'Historical Financial Statment'!K19</f>
        <v>3617.54</v>
      </c>
      <c r="U7" s="119">
        <f>'Historical Financial Statment'!L19</f>
        <v>3870.84</v>
      </c>
      <c r="V7" s="119">
        <f>'Historical Financial Statment'!M19</f>
        <v>5789.37</v>
      </c>
      <c r="W7" s="119">
        <f>'Historical Financial Statment'!N19</f>
        <v>7278.18</v>
      </c>
    </row>
    <row r="8" spans="2:23" x14ac:dyDescent="0.3">
      <c r="B8" s="108"/>
      <c r="C8" s="108"/>
      <c r="D8" s="108"/>
      <c r="F8" s="121"/>
      <c r="G8" s="121"/>
      <c r="H8" s="121"/>
      <c r="J8" s="122"/>
      <c r="K8" s="122"/>
      <c r="L8" s="122"/>
      <c r="N8" s="123"/>
      <c r="O8" s="123"/>
      <c r="P8" s="123"/>
      <c r="R8" s="119" t="s">
        <v>65</v>
      </c>
      <c r="S8" s="119">
        <f>'Historical Financial Statment'!J25</f>
        <v>2096.2600000000002</v>
      </c>
      <c r="T8" s="119">
        <f>'Historical Financial Statment'!K25</f>
        <v>2383.7599999999998</v>
      </c>
      <c r="U8" s="119">
        <f>'Historical Financial Statment'!L25</f>
        <v>2500.4400000000005</v>
      </c>
      <c r="V8" s="119">
        <f>'Historical Financial Statment'!M25</f>
        <v>3851.72</v>
      </c>
      <c r="W8" s="119">
        <f>'Historical Financial Statment'!N25</f>
        <v>5018.0600000000004</v>
      </c>
    </row>
    <row r="9" spans="2:23" x14ac:dyDescent="0.3">
      <c r="B9" s="108"/>
      <c r="C9" s="108"/>
      <c r="D9" s="108"/>
      <c r="F9" s="121"/>
      <c r="G9" s="121"/>
      <c r="H9" s="121"/>
      <c r="J9" s="122"/>
      <c r="K9" s="122"/>
      <c r="L9" s="122"/>
      <c r="N9" s="123"/>
      <c r="O9" s="123"/>
      <c r="P9" s="123"/>
      <c r="R9" s="119" t="s">
        <v>69</v>
      </c>
      <c r="S9" s="119">
        <f>'Historical Financial Statment'!J34</f>
        <v>1527.1200000000003</v>
      </c>
      <c r="T9" s="119">
        <f>'Historical Financial Statment'!K34</f>
        <v>1696.6399999999999</v>
      </c>
      <c r="U9" s="119">
        <f>'Historical Financial Statment'!L34</f>
        <v>1614.7100000000005</v>
      </c>
      <c r="V9" s="119">
        <f>'Historical Financial Statment'!M34</f>
        <v>2536.08</v>
      </c>
      <c r="W9" s="119">
        <f>'Historical Financial Statment'!N34</f>
        <v>3623.34</v>
      </c>
    </row>
    <row r="10" spans="2:23" ht="14.4" customHeight="1" x14ac:dyDescent="0.3">
      <c r="B10" s="109">
        <f>'Historical Financial Statment'!N13</f>
        <v>9512.51</v>
      </c>
      <c r="C10" s="109"/>
      <c r="D10" s="109"/>
      <c r="F10" s="110">
        <f>'Historical Financial Statment'!N25</f>
        <v>5018.0600000000004</v>
      </c>
      <c r="G10" s="110"/>
      <c r="H10" s="110"/>
      <c r="J10" s="111">
        <f>'Historical Financial Statment'!N40</f>
        <v>3468.86</v>
      </c>
      <c r="K10" s="111"/>
      <c r="L10" s="111"/>
      <c r="N10" s="112">
        <f>'Growth Rate'!O44</f>
        <v>2841.5240000000003</v>
      </c>
      <c r="O10" s="112"/>
      <c r="P10" s="112"/>
      <c r="R10" s="119" t="s">
        <v>268</v>
      </c>
      <c r="S10" s="119">
        <f>'Historical Financial Statment'!J40</f>
        <v>1381.9400000000003</v>
      </c>
      <c r="T10" s="119">
        <f>'Historical Financial Statment'!K40</f>
        <v>1560.9399999999998</v>
      </c>
      <c r="U10" s="119">
        <f>'Historical Financial Statment'!L40</f>
        <v>1529.7400000000005</v>
      </c>
      <c r="V10" s="119">
        <f>'Historical Financial Statment'!M40</f>
        <v>2452.66</v>
      </c>
      <c r="W10" s="119">
        <f>'Historical Financial Statment'!N40</f>
        <v>3468.86</v>
      </c>
    </row>
    <row r="11" spans="2:23" ht="14.4" customHeight="1" x14ac:dyDescent="0.3">
      <c r="B11" s="109"/>
      <c r="C11" s="109"/>
      <c r="D11" s="109"/>
      <c r="F11" s="110"/>
      <c r="G11" s="110"/>
      <c r="H11" s="110"/>
      <c r="J11" s="111"/>
      <c r="K11" s="111"/>
      <c r="L11" s="111"/>
      <c r="N11" s="112"/>
      <c r="O11" s="112"/>
      <c r="P11" s="112"/>
    </row>
    <row r="12" spans="2:23" ht="14.4" customHeight="1" x14ac:dyDescent="0.3">
      <c r="B12" s="109"/>
      <c r="C12" s="109"/>
      <c r="D12" s="109"/>
      <c r="F12" s="110"/>
      <c r="G12" s="110"/>
      <c r="H12" s="110"/>
      <c r="J12" s="111"/>
      <c r="K12" s="111"/>
      <c r="L12" s="111"/>
      <c r="N12" s="112"/>
      <c r="O12" s="112"/>
      <c r="P12" s="112"/>
    </row>
    <row r="14" spans="2:23" x14ac:dyDescent="0.3">
      <c r="B14" s="82" t="s">
        <v>266</v>
      </c>
      <c r="C14" s="82"/>
      <c r="D14" s="82"/>
      <c r="E14" s="82"/>
      <c r="F14" s="82"/>
      <c r="G14" s="82"/>
      <c r="H14" s="82"/>
      <c r="J14" s="12" t="s">
        <v>269</v>
      </c>
      <c r="K14" s="12"/>
      <c r="L14" s="12"/>
      <c r="M14" s="12"/>
      <c r="N14" s="12"/>
    </row>
    <row r="15" spans="2:23" x14ac:dyDescent="0.3">
      <c r="B15" s="113" t="s">
        <v>267</v>
      </c>
      <c r="C15" s="113"/>
      <c r="D15" s="114">
        <f>'Historical Financial Statment'!$J$11</f>
        <v>44651</v>
      </c>
      <c r="E15" s="114">
        <f>'Historical Financial Statment'!$K$11</f>
        <v>45016</v>
      </c>
      <c r="F15" s="114">
        <f>'Historical Financial Statment'!$L$11</f>
        <v>45382</v>
      </c>
      <c r="G15" s="114">
        <f>'Historical Financial Statment'!$M$11</f>
        <v>45747</v>
      </c>
      <c r="H15" s="114">
        <f>'Historical Financial Statment'!$N$11</f>
        <v>46112</v>
      </c>
      <c r="J15" t="s">
        <v>270</v>
      </c>
      <c r="N15" s="17">
        <f>'Growth Rate'!O16/'Growth Rate'!O22</f>
        <v>0.68367838228213773</v>
      </c>
    </row>
    <row r="16" spans="2:23" x14ac:dyDescent="0.3">
      <c r="B16" s="116" t="s">
        <v>1</v>
      </c>
      <c r="C16" s="116"/>
      <c r="D16" s="117">
        <f>'Historical Financial Statment'!J13/'Historical Financial Statment'!I13-1</f>
        <v>0.32738301926102165</v>
      </c>
      <c r="E16" s="117">
        <f>'Historical Financial Statment'!K13/'Historical Financial Statment'!J13-1</f>
        <v>0.17336423937472145</v>
      </c>
      <c r="F16" s="117">
        <f>'Historical Financial Statment'!L13/'Historical Financial Statment'!K13-1</f>
        <v>9.6319488198516989E-2</v>
      </c>
      <c r="G16" s="117">
        <f>'Historical Financial Statment'!M13/'Historical Financial Statment'!L13-1</f>
        <v>0.43313192186154414</v>
      </c>
      <c r="H16" s="117">
        <f>'Historical Financial Statment'!N13/'Historical Financial Statment'!M13-1</f>
        <v>0.17373332560099408</v>
      </c>
      <c r="J16" s="116" t="s">
        <v>271</v>
      </c>
      <c r="K16" s="116"/>
      <c r="L16" s="116"/>
      <c r="M16" s="116"/>
      <c r="N16" s="118">
        <f>('Growth Rate'!O16-'Historical Financial Statment'!N67)/'Growth Rate'!O22</f>
        <v>0.53513721714010598</v>
      </c>
    </row>
    <row r="17" spans="2:16" x14ac:dyDescent="0.3">
      <c r="B17" t="s">
        <v>61</v>
      </c>
      <c r="D17" s="115">
        <f>'Historical Financial Statment'!J19/'Historical Financial Statment'!I19-1</f>
        <v>0.29176963420136515</v>
      </c>
      <c r="E17" s="115">
        <f>'Historical Financial Statment'!K19/'Historical Financial Statment'!J19-1</f>
        <v>0.15921901386561221</v>
      </c>
      <c r="F17" s="115">
        <f>'Historical Financial Statment'!L19/'Historical Financial Statment'!K19-1</f>
        <v>7.0019958314213593E-2</v>
      </c>
      <c r="G17" s="115">
        <f>'Historical Financial Statment'!M19/'Historical Financial Statment'!L19-1</f>
        <v>0.49563660600799819</v>
      </c>
      <c r="H17" s="115">
        <f>'Historical Financial Statment'!N19/'Historical Financial Statment'!M19-1</f>
        <v>0.2571626964592002</v>
      </c>
      <c r="J17" t="s">
        <v>272</v>
      </c>
      <c r="N17" s="17">
        <f>('Historical Financial Statment'!N25-'Historical Financial Statment'!N31)/SUM('Historical Financial Statment'!N54:N55)</f>
        <v>1.7710047554644217</v>
      </c>
    </row>
    <row r="18" spans="2:16" x14ac:dyDescent="0.3">
      <c r="B18" s="116" t="s">
        <v>65</v>
      </c>
      <c r="C18" s="116"/>
      <c r="D18" s="117">
        <f>'Historical Financial Statment'!J25/'Historical Financial Statment'!I25-1</f>
        <v>0.18554672035652509</v>
      </c>
      <c r="E18" s="117">
        <f>'Historical Financial Statment'!K25/'Historical Financial Statment'!J25-1</f>
        <v>0.13714901777451249</v>
      </c>
      <c r="F18" s="117">
        <f>'Historical Financial Statment'!L25/'Historical Financial Statment'!K25-1</f>
        <v>4.894788065912703E-2</v>
      </c>
      <c r="G18" s="117">
        <f>'Historical Financial Statment'!M25/'Historical Financial Statment'!L25-1</f>
        <v>0.54041688662795306</v>
      </c>
      <c r="H18" s="117">
        <f>'Historical Financial Statment'!N25/'Historical Financial Statment'!M25-1</f>
        <v>0.30281017311746461</v>
      </c>
      <c r="J18" s="116" t="s">
        <v>273</v>
      </c>
      <c r="K18" s="116"/>
      <c r="L18" s="116"/>
      <c r="M18" s="116"/>
      <c r="N18" s="118">
        <f>('Historical Financial Statment'!N34+'Historical Financial Statment'!N31)/SUM('Historical Financial Statment'!N54:N56)</f>
        <v>0.63690244526237372</v>
      </c>
    </row>
    <row r="19" spans="2:16" x14ac:dyDescent="0.3">
      <c r="B19" t="s">
        <v>69</v>
      </c>
      <c r="D19" s="115">
        <f>'Historical Financial Statment'!J34/'Historical Financial Statment'!I34-1</f>
        <v>0.24148022892820009</v>
      </c>
      <c r="E19" s="115">
        <f>'Historical Financial Statment'!K34/'Historical Financial Statment'!J34-1</f>
        <v>0.1110063387291107</v>
      </c>
      <c r="F19" s="115">
        <f>'Historical Financial Statment'!L34/'Historical Financial Statment'!K34-1</f>
        <v>-4.828956054319089E-2</v>
      </c>
      <c r="G19" s="115">
        <f>'Historical Financial Statment'!M34/'Historical Financial Statment'!L34-1</f>
        <v>0.57061020245121363</v>
      </c>
      <c r="H19" s="115">
        <f>'Historical Financial Statment'!N34/'Historical Financial Statment'!M34-1</f>
        <v>0.42871675972366807</v>
      </c>
      <c r="J19" t="s">
        <v>274</v>
      </c>
      <c r="N19" s="17">
        <f>N17*'Historical Financial Statment'!N50</f>
        <v>1.7305799021876469</v>
      </c>
    </row>
    <row r="20" spans="2:16" x14ac:dyDescent="0.3">
      <c r="B20" s="116" t="s">
        <v>268</v>
      </c>
      <c r="C20" s="116"/>
      <c r="D20" s="117">
        <f>'Historical Financial Statment'!J40/'Historical Financial Statment'!I40-1</f>
        <v>0.19707561307311883</v>
      </c>
      <c r="E20" s="117">
        <f>'Historical Financial Statment'!K40/'Historical Financial Statment'!J40-1</f>
        <v>0.12952805476359286</v>
      </c>
      <c r="F20" s="117">
        <f>'Historical Financial Statment'!L40/'Historical Financial Statment'!K40-1</f>
        <v>-1.9987955975245275E-2</v>
      </c>
      <c r="G20" s="117">
        <f>'Historical Financial Statment'!M40/'Historical Financial Statment'!L40-1</f>
        <v>0.60331821093780591</v>
      </c>
      <c r="H20" s="117">
        <f>'Historical Financial Statment'!N40/'Historical Financial Statment'!M40-1</f>
        <v>0.41432567090424288</v>
      </c>
    </row>
    <row r="22" spans="2:16" x14ac:dyDescent="0.3">
      <c r="J22" s="108" t="s">
        <v>217</v>
      </c>
      <c r="K22" s="108"/>
      <c r="L22" s="108"/>
      <c r="N22" s="124">
        <f>WACC!$L$45</f>
        <v>0.10176028779945255</v>
      </c>
      <c r="O22" s="124"/>
      <c r="P22" s="124"/>
    </row>
    <row r="23" spans="2:16" x14ac:dyDescent="0.3">
      <c r="J23" s="108"/>
      <c r="K23" s="108"/>
      <c r="L23" s="108"/>
      <c r="N23" s="124"/>
      <c r="O23" s="124"/>
      <c r="P23" s="124"/>
    </row>
    <row r="24" spans="2:16" x14ac:dyDescent="0.3">
      <c r="J24" s="119"/>
      <c r="K24" s="119"/>
      <c r="L24" s="119"/>
    </row>
    <row r="25" spans="2:16" x14ac:dyDescent="0.3">
      <c r="J25" s="121" t="s">
        <v>275</v>
      </c>
      <c r="K25" s="121"/>
      <c r="L25" s="121"/>
      <c r="N25" s="125">
        <f>'Growth Rate'!O63</f>
        <v>0.12139764073465731</v>
      </c>
      <c r="O25" s="125"/>
      <c r="P25" s="125"/>
    </row>
    <row r="26" spans="2:16" x14ac:dyDescent="0.3">
      <c r="J26" s="121"/>
      <c r="K26" s="121"/>
      <c r="L26" s="121"/>
      <c r="N26" s="125"/>
      <c r="O26" s="125"/>
      <c r="P26" s="125"/>
    </row>
    <row r="27" spans="2:16" x14ac:dyDescent="0.3">
      <c r="J27" s="119"/>
      <c r="K27" s="119"/>
      <c r="L27" s="119"/>
    </row>
    <row r="28" spans="2:16" x14ac:dyDescent="0.3">
      <c r="J28" s="122" t="s">
        <v>215</v>
      </c>
      <c r="K28" s="122"/>
      <c r="L28" s="122"/>
      <c r="N28" s="111">
        <f>'DCF Valuation'!D30</f>
        <v>15729.611614062029</v>
      </c>
      <c r="O28" s="111"/>
      <c r="P28" s="111"/>
    </row>
    <row r="29" spans="2:16" x14ac:dyDescent="0.3">
      <c r="J29" s="122"/>
      <c r="K29" s="122"/>
      <c r="L29" s="122"/>
      <c r="N29" s="111"/>
      <c r="O29" s="111"/>
      <c r="P29" s="111"/>
    </row>
    <row r="30" spans="2:16" x14ac:dyDescent="0.3">
      <c r="J30" s="119"/>
      <c r="K30" s="119"/>
      <c r="L30" s="119"/>
    </row>
    <row r="31" spans="2:16" x14ac:dyDescent="0.3">
      <c r="J31" s="123" t="s">
        <v>276</v>
      </c>
      <c r="K31" s="123"/>
      <c r="L31" s="123"/>
      <c r="N31" s="112">
        <f>'DCF Valuation'!D41</f>
        <v>1399.704078300929</v>
      </c>
      <c r="O31" s="112"/>
      <c r="P31" s="112"/>
    </row>
    <row r="32" spans="2:16" x14ac:dyDescent="0.3">
      <c r="J32" s="123"/>
      <c r="K32" s="123"/>
      <c r="L32" s="123"/>
      <c r="N32" s="112"/>
      <c r="O32" s="112"/>
      <c r="P32" s="112"/>
    </row>
  </sheetData>
  <sheetProtection algorithmName="SHA-512" hashValue="PkWVzN3yRearPqGhEgUbD4ja0xwhXpHygyuCDvXteUX7/8xOjo7slGZLRdIB3d/lwqedeB/kO77qX25bEZ2HXQ==" saltValue="6SDOcq4hrSTm6vWNSBzzXA==" spinCount="100000" sheet="1" objects="1" scenarios="1"/>
  <mergeCells count="17">
    <mergeCell ref="J28:L29"/>
    <mergeCell ref="J31:L32"/>
    <mergeCell ref="N22:P23"/>
    <mergeCell ref="N25:P26"/>
    <mergeCell ref="N28:P29"/>
    <mergeCell ref="N31:P32"/>
    <mergeCell ref="B10:D12"/>
    <mergeCell ref="F10:H12"/>
    <mergeCell ref="J10:L12"/>
    <mergeCell ref="N10:P12"/>
    <mergeCell ref="J22:L23"/>
    <mergeCell ref="J25:L26"/>
    <mergeCell ref="B7:D9"/>
    <mergeCell ref="F7:H9"/>
    <mergeCell ref="J7:L9"/>
    <mergeCell ref="N7:P9"/>
    <mergeCell ref="E2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6BE9-E9A6-4CA3-9477-03E4B288CF03}">
  <sheetPr>
    <tabColor theme="6"/>
  </sheetPr>
  <dimension ref="C2:T38"/>
  <sheetViews>
    <sheetView showGridLines="0" topLeftCell="A9" workbookViewId="0">
      <selection activeCell="N21" sqref="N21"/>
    </sheetView>
  </sheetViews>
  <sheetFormatPr defaultRowHeight="14.4" x14ac:dyDescent="0.3"/>
  <cols>
    <col min="1" max="1" width="1.88671875" customWidth="1"/>
    <col min="16" max="16" width="1.88671875" customWidth="1"/>
  </cols>
  <sheetData>
    <row r="2" spans="3:20" ht="14.4" customHeight="1" x14ac:dyDescent="0.3">
      <c r="C2" s="126" t="s">
        <v>277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3:20" ht="14.4" customHeight="1" x14ac:dyDescent="0.3"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3:20" ht="14.4" customHeight="1" x14ac:dyDescent="0.3">
      <c r="C4" s="127"/>
      <c r="D4" s="127" t="s">
        <v>278</v>
      </c>
      <c r="E4" s="127"/>
      <c r="F4" s="127"/>
      <c r="G4" s="127" t="s">
        <v>280</v>
      </c>
      <c r="H4" s="127"/>
      <c r="I4" s="127" t="s">
        <v>279</v>
      </c>
      <c r="J4" s="127"/>
      <c r="K4" s="127"/>
      <c r="L4" s="127"/>
      <c r="M4" s="127"/>
    </row>
    <row r="6" spans="3:20" ht="21" x14ac:dyDescent="0.4">
      <c r="C6" s="128"/>
      <c r="D6" s="129"/>
      <c r="E6" s="129"/>
      <c r="F6" s="129"/>
      <c r="G6" s="129"/>
      <c r="H6" s="129"/>
      <c r="I6" s="129"/>
      <c r="J6" s="129"/>
      <c r="K6" s="129"/>
      <c r="L6" s="130"/>
      <c r="N6" s="138" t="s">
        <v>305</v>
      </c>
      <c r="O6" s="138"/>
      <c r="P6" s="138"/>
      <c r="Q6" s="138"/>
      <c r="R6" s="138"/>
      <c r="S6" s="138"/>
      <c r="T6" s="138"/>
    </row>
    <row r="7" spans="3:20" x14ac:dyDescent="0.3">
      <c r="C7" s="131" t="s">
        <v>281</v>
      </c>
      <c r="D7" s="132"/>
      <c r="E7" s="132"/>
      <c r="F7" s="132"/>
      <c r="G7" s="132"/>
      <c r="H7" s="132"/>
      <c r="I7" s="132"/>
      <c r="J7" s="132"/>
      <c r="K7" s="132"/>
      <c r="L7" s="133"/>
    </row>
    <row r="8" spans="3:20" x14ac:dyDescent="0.3">
      <c r="C8" s="134" t="s">
        <v>282</v>
      </c>
      <c r="D8" s="132"/>
      <c r="E8" s="132"/>
      <c r="F8" s="132"/>
      <c r="G8" s="132"/>
      <c r="H8" s="132"/>
      <c r="I8" s="132"/>
      <c r="J8" s="132"/>
      <c r="K8" s="132"/>
      <c r="L8" s="133"/>
      <c r="N8" s="158" t="s">
        <v>306</v>
      </c>
      <c r="O8" s="159"/>
      <c r="P8" s="158"/>
      <c r="Q8" s="159" t="s">
        <v>309</v>
      </c>
      <c r="R8" s="159"/>
      <c r="S8" s="160"/>
    </row>
    <row r="9" spans="3:20" x14ac:dyDescent="0.3">
      <c r="C9" s="134" t="s">
        <v>283</v>
      </c>
      <c r="D9" s="132"/>
      <c r="E9" s="132"/>
      <c r="F9" s="132"/>
      <c r="G9" s="132"/>
      <c r="H9" s="132"/>
      <c r="I9" s="132"/>
      <c r="J9" s="132"/>
      <c r="K9" s="132"/>
      <c r="L9" s="133"/>
      <c r="N9" s="134"/>
      <c r="O9" s="132"/>
      <c r="P9" s="134"/>
      <c r="Q9" s="132"/>
      <c r="R9" s="132"/>
      <c r="S9" s="133"/>
    </row>
    <row r="10" spans="3:20" x14ac:dyDescent="0.3">
      <c r="C10" s="134" t="s">
        <v>284</v>
      </c>
      <c r="D10" s="132"/>
      <c r="E10" s="132"/>
      <c r="F10" s="132"/>
      <c r="G10" s="132"/>
      <c r="H10" s="132"/>
      <c r="I10" s="132"/>
      <c r="J10" s="132"/>
      <c r="K10" s="132"/>
      <c r="L10" s="133"/>
      <c r="N10" s="161" t="s">
        <v>307</v>
      </c>
      <c r="O10" s="132"/>
      <c r="P10" s="134"/>
      <c r="Q10" s="145" t="s">
        <v>310</v>
      </c>
      <c r="R10" s="145"/>
      <c r="S10" s="146"/>
    </row>
    <row r="11" spans="3:20" x14ac:dyDescent="0.3">
      <c r="C11" s="135"/>
      <c r="D11" s="136"/>
      <c r="E11" s="136"/>
      <c r="F11" s="136"/>
      <c r="G11" s="136"/>
      <c r="H11" s="136"/>
      <c r="I11" s="136"/>
      <c r="J11" s="136"/>
      <c r="K11" s="136"/>
      <c r="L11" s="137"/>
      <c r="N11" s="134"/>
      <c r="O11" s="132"/>
      <c r="P11" s="134"/>
      <c r="Q11" s="145" t="s">
        <v>311</v>
      </c>
      <c r="R11" s="145"/>
      <c r="S11" s="146"/>
    </row>
    <row r="12" spans="3:20" x14ac:dyDescent="0.3">
      <c r="N12" s="134"/>
      <c r="O12" s="132"/>
      <c r="P12" s="134"/>
      <c r="Q12" s="132"/>
      <c r="R12" s="132"/>
      <c r="S12" s="133"/>
    </row>
    <row r="13" spans="3:20" x14ac:dyDescent="0.3">
      <c r="C13" s="138" t="s">
        <v>285</v>
      </c>
      <c r="D13" s="138"/>
      <c r="E13" s="138"/>
      <c r="F13" s="138"/>
      <c r="G13" s="138"/>
      <c r="H13" s="138"/>
      <c r="I13" s="138"/>
      <c r="J13" s="138"/>
      <c r="K13" s="138"/>
      <c r="L13" s="138"/>
      <c r="N13" s="135" t="s">
        <v>308</v>
      </c>
      <c r="O13" s="136"/>
      <c r="P13" s="135"/>
      <c r="Q13" s="136" t="s">
        <v>312</v>
      </c>
      <c r="R13" s="136"/>
      <c r="S13" s="137"/>
    </row>
    <row r="14" spans="3:20" x14ac:dyDescent="0.3">
      <c r="C14" s="138"/>
      <c r="D14" s="138"/>
      <c r="E14" s="138"/>
      <c r="F14" s="138"/>
      <c r="G14" s="138"/>
      <c r="H14" s="138"/>
      <c r="I14" s="138"/>
      <c r="J14" s="138"/>
      <c r="K14" s="138"/>
      <c r="L14" s="138"/>
    </row>
    <row r="16" spans="3:20" ht="14.4" customHeight="1" x14ac:dyDescent="0.3">
      <c r="C16" s="155" t="s">
        <v>286</v>
      </c>
      <c r="D16" s="155"/>
      <c r="E16" s="155"/>
      <c r="F16" s="155"/>
      <c r="H16" s="157" t="s">
        <v>287</v>
      </c>
      <c r="I16" s="157"/>
      <c r="J16" s="157"/>
      <c r="K16" s="157"/>
      <c r="L16" s="157"/>
    </row>
    <row r="17" spans="3:15" ht="14.4" customHeight="1" x14ac:dyDescent="0.3">
      <c r="C17" s="156"/>
      <c r="D17" s="156"/>
      <c r="E17" s="156"/>
      <c r="F17" s="156"/>
      <c r="H17" s="157"/>
      <c r="I17" s="157"/>
      <c r="J17" s="157"/>
      <c r="K17" s="157"/>
      <c r="L17" s="157"/>
    </row>
    <row r="19" spans="3:15" ht="28.8" customHeight="1" x14ac:dyDescent="0.3">
      <c r="C19" s="128">
        <v>1</v>
      </c>
      <c r="D19" s="140" t="s">
        <v>288</v>
      </c>
      <c r="E19" s="140"/>
      <c r="F19" s="140"/>
      <c r="G19" s="129"/>
      <c r="H19" s="141" t="s">
        <v>299</v>
      </c>
      <c r="I19" s="141"/>
      <c r="J19" s="141"/>
      <c r="K19" s="141"/>
      <c r="L19" s="142"/>
      <c r="M19" s="139"/>
      <c r="N19" s="139"/>
      <c r="O19" s="139"/>
    </row>
    <row r="20" spans="3:15" x14ac:dyDescent="0.3">
      <c r="C20" s="134"/>
      <c r="D20" s="143"/>
      <c r="E20" s="143"/>
      <c r="F20" s="143"/>
      <c r="G20" s="132"/>
      <c r="H20" s="132"/>
      <c r="I20" s="132"/>
      <c r="J20" s="132"/>
      <c r="K20" s="132"/>
      <c r="L20" s="133"/>
    </row>
    <row r="21" spans="3:15" ht="28.8" customHeight="1" x14ac:dyDescent="0.3">
      <c r="C21" s="134">
        <v>2</v>
      </c>
      <c r="D21" s="144" t="s">
        <v>289</v>
      </c>
      <c r="E21" s="144"/>
      <c r="F21" s="144"/>
      <c r="G21" s="132"/>
      <c r="H21" s="145" t="s">
        <v>295</v>
      </c>
      <c r="I21" s="145"/>
      <c r="J21" s="145"/>
      <c r="K21" s="145"/>
      <c r="L21" s="146"/>
    </row>
    <row r="22" spans="3:15" x14ac:dyDescent="0.3">
      <c r="C22" s="134"/>
      <c r="D22" s="143"/>
      <c r="E22" s="143"/>
      <c r="F22" s="143"/>
      <c r="G22" s="132"/>
      <c r="H22" s="132"/>
      <c r="I22" s="132"/>
      <c r="J22" s="132"/>
      <c r="K22" s="132"/>
      <c r="L22" s="133"/>
    </row>
    <row r="23" spans="3:15" ht="28.8" customHeight="1" x14ac:dyDescent="0.3">
      <c r="C23" s="134">
        <v>3</v>
      </c>
      <c r="D23" s="144" t="s">
        <v>290</v>
      </c>
      <c r="E23" s="144"/>
      <c r="F23" s="144"/>
      <c r="G23" s="132"/>
      <c r="H23" s="145" t="s">
        <v>296</v>
      </c>
      <c r="I23" s="145"/>
      <c r="J23" s="145"/>
      <c r="K23" s="145"/>
      <c r="L23" s="146"/>
    </row>
    <row r="24" spans="3:15" x14ac:dyDescent="0.3">
      <c r="C24" s="134"/>
      <c r="D24" s="143"/>
      <c r="E24" s="143"/>
      <c r="F24" s="143"/>
      <c r="G24" s="132"/>
      <c r="H24" s="132"/>
      <c r="I24" s="132"/>
      <c r="J24" s="132"/>
      <c r="K24" s="132"/>
      <c r="L24" s="133"/>
    </row>
    <row r="25" spans="3:15" ht="28.8" customHeight="1" x14ac:dyDescent="0.3">
      <c r="C25" s="134">
        <v>4</v>
      </c>
      <c r="D25" s="144" t="s">
        <v>291</v>
      </c>
      <c r="E25" s="144"/>
      <c r="F25" s="144"/>
      <c r="G25" s="132"/>
      <c r="H25" s="145" t="s">
        <v>298</v>
      </c>
      <c r="I25" s="145"/>
      <c r="J25" s="145"/>
      <c r="K25" s="145"/>
      <c r="L25" s="146"/>
    </row>
    <row r="26" spans="3:15" x14ac:dyDescent="0.3">
      <c r="C26" s="134"/>
      <c r="D26" s="143"/>
      <c r="E26" s="143"/>
      <c r="F26" s="143"/>
      <c r="G26" s="132"/>
      <c r="H26" s="132"/>
      <c r="I26" s="132"/>
      <c r="J26" s="132"/>
      <c r="K26" s="132"/>
      <c r="L26" s="133"/>
    </row>
    <row r="27" spans="3:15" ht="28.8" customHeight="1" x14ac:dyDescent="0.3">
      <c r="C27" s="134">
        <v>5</v>
      </c>
      <c r="D27" s="147" t="s">
        <v>292</v>
      </c>
      <c r="E27" s="147"/>
      <c r="F27" s="147"/>
      <c r="G27" s="132"/>
      <c r="H27" s="145" t="s">
        <v>297</v>
      </c>
      <c r="I27" s="145"/>
      <c r="J27" s="145"/>
      <c r="K27" s="145"/>
      <c r="L27" s="146"/>
    </row>
    <row r="28" spans="3:15" x14ac:dyDescent="0.3">
      <c r="C28" s="134"/>
      <c r="D28" s="143"/>
      <c r="E28" s="143"/>
      <c r="F28" s="143"/>
      <c r="G28" s="132"/>
      <c r="H28" s="132"/>
      <c r="I28" s="132"/>
      <c r="J28" s="132"/>
      <c r="K28" s="132"/>
      <c r="L28" s="133"/>
    </row>
    <row r="29" spans="3:15" ht="28.8" customHeight="1" x14ac:dyDescent="0.3">
      <c r="C29" s="134">
        <v>6</v>
      </c>
      <c r="D29" s="148" t="s">
        <v>217</v>
      </c>
      <c r="E29" s="148"/>
      <c r="F29" s="148"/>
      <c r="G29" s="132"/>
      <c r="H29" s="145" t="s">
        <v>302</v>
      </c>
      <c r="I29" s="145"/>
      <c r="J29" s="145"/>
      <c r="K29" s="145"/>
      <c r="L29" s="146"/>
    </row>
    <row r="30" spans="3:15" x14ac:dyDescent="0.3">
      <c r="C30" s="134"/>
      <c r="D30" s="143"/>
      <c r="E30" s="143"/>
      <c r="F30" s="143"/>
      <c r="G30" s="132"/>
      <c r="H30" s="132"/>
      <c r="I30" s="132"/>
      <c r="J30" s="132"/>
      <c r="K30" s="132"/>
      <c r="L30" s="133"/>
    </row>
    <row r="31" spans="3:15" ht="28.8" customHeight="1" x14ac:dyDescent="0.3">
      <c r="C31" s="134">
        <v>7</v>
      </c>
      <c r="D31" s="149" t="s">
        <v>216</v>
      </c>
      <c r="E31" s="149"/>
      <c r="F31" s="149"/>
      <c r="G31" s="132"/>
      <c r="H31" s="145" t="s">
        <v>301</v>
      </c>
      <c r="I31" s="145"/>
      <c r="J31" s="145"/>
      <c r="K31" s="145"/>
      <c r="L31" s="146"/>
    </row>
    <row r="32" spans="3:15" x14ac:dyDescent="0.3">
      <c r="C32" s="134"/>
      <c r="D32" s="143"/>
      <c r="E32" s="143"/>
      <c r="F32" s="143"/>
      <c r="G32" s="132"/>
      <c r="H32" s="132"/>
      <c r="I32" s="132"/>
      <c r="J32" s="132"/>
      <c r="K32" s="132"/>
      <c r="L32" s="133"/>
    </row>
    <row r="33" spans="3:12" ht="28.8" customHeight="1" x14ac:dyDescent="0.3">
      <c r="C33" s="134">
        <v>8</v>
      </c>
      <c r="D33" s="150" t="s">
        <v>293</v>
      </c>
      <c r="E33" s="150"/>
      <c r="F33" s="150"/>
      <c r="G33" s="132"/>
      <c r="H33" s="145" t="s">
        <v>300</v>
      </c>
      <c r="I33" s="145"/>
      <c r="J33" s="145"/>
      <c r="K33" s="145"/>
      <c r="L33" s="146"/>
    </row>
    <row r="34" spans="3:12" x14ac:dyDescent="0.3">
      <c r="C34" s="134"/>
      <c r="D34" s="143"/>
      <c r="E34" s="143"/>
      <c r="F34" s="143"/>
      <c r="G34" s="132"/>
      <c r="H34" s="132"/>
      <c r="I34" s="132"/>
      <c r="J34" s="132"/>
      <c r="K34" s="132"/>
      <c r="L34" s="133"/>
    </row>
    <row r="35" spans="3:12" ht="28.8" customHeight="1" x14ac:dyDescent="0.3">
      <c r="C35" s="134">
        <v>9</v>
      </c>
      <c r="D35" s="151" t="s">
        <v>294</v>
      </c>
      <c r="E35" s="151"/>
      <c r="F35" s="151"/>
      <c r="G35" s="132"/>
      <c r="H35" s="145" t="s">
        <v>303</v>
      </c>
      <c r="I35" s="145"/>
      <c r="J35" s="145"/>
      <c r="K35" s="145"/>
      <c r="L35" s="146"/>
    </row>
    <row r="36" spans="3:12" x14ac:dyDescent="0.3">
      <c r="C36" s="134"/>
      <c r="D36" s="143"/>
      <c r="E36" s="143"/>
      <c r="F36" s="143"/>
      <c r="G36" s="132"/>
      <c r="H36" s="132"/>
      <c r="I36" s="132"/>
      <c r="J36" s="132"/>
      <c r="K36" s="132"/>
      <c r="L36" s="133"/>
    </row>
    <row r="37" spans="3:12" ht="28.8" customHeight="1" x14ac:dyDescent="0.3">
      <c r="C37" s="135">
        <v>10</v>
      </c>
      <c r="D37" s="152" t="s">
        <v>233</v>
      </c>
      <c r="E37" s="152"/>
      <c r="F37" s="152"/>
      <c r="G37" s="136"/>
      <c r="H37" s="153" t="s">
        <v>304</v>
      </c>
      <c r="I37" s="153"/>
      <c r="J37" s="153"/>
      <c r="K37" s="153"/>
      <c r="L37" s="154"/>
    </row>
    <row r="38" spans="3:12" x14ac:dyDescent="0.3">
      <c r="C38" s="116"/>
      <c r="D38" s="116"/>
      <c r="E38" s="116"/>
      <c r="F38" s="116"/>
      <c r="G38" s="116"/>
      <c r="H38" s="116"/>
      <c r="I38" s="116"/>
      <c r="J38" s="116"/>
      <c r="K38" s="116"/>
      <c r="L38" s="116"/>
    </row>
  </sheetData>
  <mergeCells count="17">
    <mergeCell ref="H33:L33"/>
    <mergeCell ref="H35:L35"/>
    <mergeCell ref="H37:L37"/>
    <mergeCell ref="N6:T6"/>
    <mergeCell ref="Q10:S10"/>
    <mergeCell ref="Q11:S11"/>
    <mergeCell ref="H21:L21"/>
    <mergeCell ref="H23:L23"/>
    <mergeCell ref="H25:L25"/>
    <mergeCell ref="H27:L27"/>
    <mergeCell ref="H29:L29"/>
    <mergeCell ref="H31:L31"/>
    <mergeCell ref="C2:M3"/>
    <mergeCell ref="C13:L14"/>
    <mergeCell ref="C16:F17"/>
    <mergeCell ref="H16:L17"/>
    <mergeCell ref="H19: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30" zoomScaleNormal="130" zoomScalePageLayoutView="120" workbookViewId="0">
      <pane xSplit="1" ySplit="1" topLeftCell="B14" activePane="bottomRight" state="frozen"/>
      <selection activeCell="K20" sqref="K20"/>
      <selection pane="topRight" activeCell="K20" sqref="K20"/>
      <selection pane="bottomLeft" activeCell="K20" sqref="K20"/>
      <selection pane="bottomRight" activeCell="E1" sqref="E1:K1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101" t="str">
        <f>IF(B2&lt;&gt;B3, "A NEW VERSION OF THE WORKSHEET IS AVAILABLE", "")</f>
        <v/>
      </c>
      <c r="F1" s="101"/>
      <c r="G1" s="101"/>
      <c r="H1" s="101"/>
      <c r="I1" s="101"/>
      <c r="J1" s="101"/>
      <c r="K1" s="101"/>
    </row>
    <row r="2" spans="1:11" x14ac:dyDescent="0.3">
      <c r="A2" s="1" t="s">
        <v>32</v>
      </c>
      <c r="B2" s="3">
        <v>2.1</v>
      </c>
      <c r="E2" s="102" t="s">
        <v>22</v>
      </c>
      <c r="F2" s="102"/>
      <c r="G2" s="102"/>
      <c r="H2" s="102"/>
      <c r="I2" s="102"/>
      <c r="J2" s="102"/>
      <c r="K2" s="102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65.984527899537966</v>
      </c>
    </row>
    <row r="7" spans="1:11" x14ac:dyDescent="0.3">
      <c r="A7" s="3" t="s">
        <v>17</v>
      </c>
      <c r="B7">
        <v>2</v>
      </c>
    </row>
    <row r="8" spans="1:11" x14ac:dyDescent="0.3">
      <c r="A8" s="3" t="s">
        <v>29</v>
      </c>
      <c r="B8">
        <v>422.05</v>
      </c>
    </row>
    <row r="9" spans="1:11" x14ac:dyDescent="0.3">
      <c r="A9" s="3" t="s">
        <v>45</v>
      </c>
      <c r="B9">
        <v>27848.77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 s="5" customFormat="1" x14ac:dyDescent="0.3">
      <c r="A17" s="5" t="s">
        <v>1</v>
      </c>
      <c r="B17">
        <v>2583.39</v>
      </c>
      <c r="C17">
        <v>3018.4</v>
      </c>
      <c r="D17">
        <v>3563.14</v>
      </c>
      <c r="E17">
        <v>3927.27</v>
      </c>
      <c r="F17">
        <v>3311.87</v>
      </c>
      <c r="G17">
        <v>4396.12</v>
      </c>
      <c r="H17">
        <v>5158.25</v>
      </c>
      <c r="I17">
        <v>5655.09</v>
      </c>
      <c r="J17">
        <v>8104.49</v>
      </c>
      <c r="K17">
        <v>9512.51</v>
      </c>
    </row>
    <row r="18" spans="1:11" s="5" customFormat="1" x14ac:dyDescent="0.3">
      <c r="A18" s="3" t="s">
        <v>46</v>
      </c>
      <c r="B18">
        <v>631.29999999999995</v>
      </c>
      <c r="C18">
        <v>767.43</v>
      </c>
      <c r="D18">
        <v>885.31</v>
      </c>
      <c r="E18">
        <v>984.5</v>
      </c>
      <c r="F18">
        <v>727.58</v>
      </c>
      <c r="G18">
        <v>993.65</v>
      </c>
      <c r="H18">
        <v>1253.47</v>
      </c>
      <c r="I18">
        <v>1346.85</v>
      </c>
      <c r="J18">
        <v>2266.62</v>
      </c>
      <c r="K18">
        <v>2693.67</v>
      </c>
    </row>
    <row r="19" spans="1:11" s="5" customFormat="1" x14ac:dyDescent="0.3">
      <c r="A19" s="3" t="s">
        <v>47</v>
      </c>
      <c r="B19">
        <v>0.53</v>
      </c>
      <c r="C19">
        <v>1.47</v>
      </c>
      <c r="D19">
        <v>-0.8</v>
      </c>
      <c r="E19">
        <v>1.03</v>
      </c>
      <c r="F19">
        <v>1.34</v>
      </c>
      <c r="G19">
        <v>3.75</v>
      </c>
      <c r="H19">
        <v>5.66</v>
      </c>
      <c r="I19">
        <v>5.76</v>
      </c>
      <c r="J19">
        <v>8.81</v>
      </c>
      <c r="K19">
        <v>-16.7</v>
      </c>
    </row>
    <row r="20" spans="1:11" s="5" customFormat="1" x14ac:dyDescent="0.3">
      <c r="A20" s="3" t="s">
        <v>48</v>
      </c>
      <c r="B20">
        <v>145.86000000000001</v>
      </c>
      <c r="C20">
        <v>160.31</v>
      </c>
      <c r="D20">
        <v>168.99</v>
      </c>
      <c r="E20">
        <v>172.62</v>
      </c>
      <c r="F20">
        <v>147.6</v>
      </c>
      <c r="G20">
        <v>200.66</v>
      </c>
      <c r="H20">
        <v>267.25</v>
      </c>
      <c r="I20">
        <v>309.61</v>
      </c>
      <c r="J20">
        <v>361.77</v>
      </c>
      <c r="K20"/>
    </row>
    <row r="21" spans="1:11" s="5" customFormat="1" x14ac:dyDescent="0.3">
      <c r="A21" s="3" t="s">
        <v>49</v>
      </c>
      <c r="B21">
        <v>174.48</v>
      </c>
      <c r="C21">
        <v>188.89</v>
      </c>
      <c r="D21">
        <v>233.07</v>
      </c>
      <c r="E21">
        <v>246.25</v>
      </c>
      <c r="F21"/>
      <c r="G21">
        <v>304.49</v>
      </c>
      <c r="H21">
        <v>365.27</v>
      </c>
      <c r="I21">
        <v>413.6</v>
      </c>
      <c r="J21">
        <v>557.01</v>
      </c>
      <c r="K21">
        <v>608.79</v>
      </c>
    </row>
    <row r="22" spans="1:11" s="5" customFormat="1" x14ac:dyDescent="0.3">
      <c r="A22" s="3" t="s">
        <v>50</v>
      </c>
      <c r="B22">
        <v>595.63</v>
      </c>
      <c r="C22">
        <v>615.21</v>
      </c>
      <c r="D22">
        <v>683.54</v>
      </c>
      <c r="E22">
        <v>797.84</v>
      </c>
      <c r="F22">
        <v>748.46</v>
      </c>
      <c r="G22">
        <v>770.3</v>
      </c>
      <c r="H22">
        <v>908.19</v>
      </c>
      <c r="I22">
        <v>1061.04</v>
      </c>
      <c r="J22">
        <v>1396.34</v>
      </c>
      <c r="K22">
        <v>1625.54</v>
      </c>
    </row>
    <row r="23" spans="1:11" s="5" customFormat="1" x14ac:dyDescent="0.3">
      <c r="A23" s="3" t="s">
        <v>51</v>
      </c>
      <c r="B23">
        <v>726.91</v>
      </c>
      <c r="C23">
        <v>769.62</v>
      </c>
      <c r="D23">
        <v>893.84</v>
      </c>
      <c r="E23">
        <v>744.27</v>
      </c>
      <c r="F23">
        <v>570.78</v>
      </c>
      <c r="G23">
        <v>914.89</v>
      </c>
      <c r="H23">
        <v>1082.6300000000001</v>
      </c>
      <c r="I23">
        <v>1268.54</v>
      </c>
      <c r="J23">
        <v>1823.47</v>
      </c>
      <c r="K23">
        <v>2108.6799999999998</v>
      </c>
    </row>
    <row r="24" spans="1:11" s="5" customFormat="1" x14ac:dyDescent="0.3">
      <c r="A24" s="3" t="s">
        <v>52</v>
      </c>
      <c r="B24">
        <v>65.17</v>
      </c>
      <c r="C24">
        <v>76.41</v>
      </c>
      <c r="D24">
        <v>94.97</v>
      </c>
      <c r="E24">
        <v>100.1</v>
      </c>
      <c r="F24">
        <v>76.849999999999994</v>
      </c>
      <c r="G24">
        <v>109.52</v>
      </c>
      <c r="H24">
        <v>151.15</v>
      </c>
      <c r="I24">
        <v>101.86</v>
      </c>
      <c r="J24">
        <v>114.18</v>
      </c>
      <c r="K24">
        <v>151.44</v>
      </c>
    </row>
    <row r="25" spans="1:11" s="5" customFormat="1" x14ac:dyDescent="0.3">
      <c r="A25" s="5" t="s">
        <v>4</v>
      </c>
      <c r="B25">
        <v>-0.87</v>
      </c>
      <c r="C25">
        <v>21.17</v>
      </c>
      <c r="D25">
        <v>44.5</v>
      </c>
      <c r="E25">
        <v>37.58</v>
      </c>
      <c r="F25">
        <v>64.23</v>
      </c>
      <c r="G25">
        <v>26.04</v>
      </c>
      <c r="H25">
        <v>39.9</v>
      </c>
      <c r="I25">
        <v>211.41</v>
      </c>
      <c r="J25">
        <v>22.27</v>
      </c>
      <c r="K25">
        <v>91.35</v>
      </c>
    </row>
    <row r="26" spans="1:11" s="5" customFormat="1" x14ac:dyDescent="0.3">
      <c r="A26" s="5" t="s">
        <v>5</v>
      </c>
      <c r="B26">
        <v>155.43</v>
      </c>
      <c r="C26">
        <v>160.11000000000001</v>
      </c>
      <c r="D26">
        <v>157.44999999999999</v>
      </c>
      <c r="E26">
        <v>352.28</v>
      </c>
      <c r="F26">
        <v>375.4</v>
      </c>
      <c r="G26">
        <v>393.05</v>
      </c>
      <c r="H26">
        <v>485.89</v>
      </c>
      <c r="I26">
        <v>597.96</v>
      </c>
      <c r="J26">
        <v>795.41</v>
      </c>
      <c r="K26">
        <v>958.74</v>
      </c>
    </row>
    <row r="27" spans="1:11" s="5" customFormat="1" x14ac:dyDescent="0.3">
      <c r="A27" s="5" t="s">
        <v>6</v>
      </c>
      <c r="E27">
        <v>165.24</v>
      </c>
      <c r="F27">
        <v>162.69999999999999</v>
      </c>
      <c r="G27">
        <v>176.09</v>
      </c>
      <c r="H27">
        <v>201.23</v>
      </c>
      <c r="I27">
        <v>287.77</v>
      </c>
      <c r="J27">
        <v>520.23</v>
      </c>
      <c r="K27">
        <v>435.98</v>
      </c>
    </row>
    <row r="28" spans="1:11" s="5" customFormat="1" x14ac:dyDescent="0.3">
      <c r="A28" s="5" t="s">
        <v>7</v>
      </c>
      <c r="B28">
        <v>88.27</v>
      </c>
      <c r="C28">
        <v>303.06</v>
      </c>
      <c r="D28">
        <v>489.67</v>
      </c>
      <c r="E28">
        <v>402.78</v>
      </c>
      <c r="F28">
        <v>306.17</v>
      </c>
      <c r="G28">
        <v>563.26</v>
      </c>
      <c r="H28">
        <v>488.73</v>
      </c>
      <c r="I28">
        <v>485.03</v>
      </c>
      <c r="J28">
        <v>300.54000000000002</v>
      </c>
      <c r="K28">
        <v>598.72</v>
      </c>
    </row>
    <row r="29" spans="1:11" s="5" customFormat="1" x14ac:dyDescent="0.3">
      <c r="A29" s="5" t="s">
        <v>8</v>
      </c>
      <c r="B29">
        <v>30.5</v>
      </c>
      <c r="C29">
        <v>106.83</v>
      </c>
      <c r="D29">
        <v>171.7</v>
      </c>
      <c r="E29">
        <v>123.99</v>
      </c>
      <c r="F29">
        <v>75.650000000000006</v>
      </c>
      <c r="G29">
        <v>145.18</v>
      </c>
      <c r="H29">
        <v>135.69999999999999</v>
      </c>
      <c r="I29">
        <v>84.97</v>
      </c>
      <c r="J29">
        <v>83.42</v>
      </c>
      <c r="K29">
        <v>154.47999999999999</v>
      </c>
    </row>
    <row r="30" spans="1:11" s="5" customFormat="1" x14ac:dyDescent="0.3">
      <c r="A30" s="5" t="s">
        <v>9</v>
      </c>
      <c r="B30">
        <v>57.77</v>
      </c>
      <c r="C30">
        <v>196.23</v>
      </c>
      <c r="D30">
        <v>319.79000000000002</v>
      </c>
      <c r="E30">
        <v>279.98</v>
      </c>
      <c r="F30">
        <v>231.67</v>
      </c>
      <c r="G30">
        <v>420.39</v>
      </c>
      <c r="H30">
        <v>353.2</v>
      </c>
      <c r="I30">
        <v>399.34</v>
      </c>
      <c r="J30">
        <v>210.76</v>
      </c>
      <c r="K30">
        <v>428.48</v>
      </c>
    </row>
    <row r="31" spans="1:11" s="5" customFormat="1" x14ac:dyDescent="0.3">
      <c r="A31" s="5" t="s">
        <v>36</v>
      </c>
      <c r="B31">
        <v>16.489999999999998</v>
      </c>
      <c r="C31">
        <v>32.99</v>
      </c>
      <c r="D31">
        <v>65.98</v>
      </c>
      <c r="E31">
        <v>79.180000000000007</v>
      </c>
      <c r="F31">
        <v>79.180000000000007</v>
      </c>
      <c r="G31">
        <v>79.180000000000007</v>
      </c>
      <c r="H31">
        <v>79.180000000000007</v>
      </c>
      <c r="I31">
        <v>79.180000000000007</v>
      </c>
      <c r="J31">
        <v>79.180000000000007</v>
      </c>
      <c r="K31">
        <v>79.180000000000007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45382</v>
      </c>
      <c r="C41" s="6">
        <v>45473</v>
      </c>
      <c r="D41" s="6">
        <v>45565</v>
      </c>
      <c r="E41" s="6">
        <v>45657</v>
      </c>
      <c r="F41" s="6">
        <v>45747</v>
      </c>
      <c r="G41" s="6">
        <v>45838</v>
      </c>
      <c r="H41" s="6">
        <v>45930</v>
      </c>
      <c r="I41" s="6">
        <v>46022</v>
      </c>
      <c r="J41" s="6">
        <v>46112</v>
      </c>
      <c r="K41" s="6">
        <v>46203</v>
      </c>
    </row>
    <row r="42" spans="1:11" s="5" customFormat="1" x14ac:dyDescent="0.3">
      <c r="A42" s="5" t="s">
        <v>1</v>
      </c>
      <c r="B42">
        <v>1573.8</v>
      </c>
      <c r="C42">
        <v>1933.06</v>
      </c>
      <c r="D42">
        <v>1954.72</v>
      </c>
      <c r="E42">
        <v>2150.7600000000002</v>
      </c>
      <c r="F42">
        <v>2095.02</v>
      </c>
      <c r="G42">
        <v>2260.86</v>
      </c>
      <c r="H42">
        <v>2340.15</v>
      </c>
      <c r="I42">
        <v>2429.19</v>
      </c>
      <c r="J42">
        <v>2499.4699999999998</v>
      </c>
      <c r="K42">
        <v>2569.65</v>
      </c>
    </row>
    <row r="43" spans="1:11" s="5" customFormat="1" x14ac:dyDescent="0.3">
      <c r="A43" s="5" t="s">
        <v>2</v>
      </c>
      <c r="B43">
        <v>1262.45</v>
      </c>
      <c r="C43">
        <v>1552.63</v>
      </c>
      <c r="D43">
        <v>1558.39</v>
      </c>
      <c r="E43">
        <v>1749.02</v>
      </c>
      <c r="F43">
        <v>1703.13</v>
      </c>
      <c r="G43">
        <v>1822.88</v>
      </c>
      <c r="H43">
        <v>1863.97</v>
      </c>
      <c r="I43">
        <v>1945.36</v>
      </c>
      <c r="J43">
        <v>2014.57</v>
      </c>
      <c r="K43">
        <v>2065.79</v>
      </c>
    </row>
    <row r="44" spans="1:11" s="5" customFormat="1" x14ac:dyDescent="0.3">
      <c r="A44" s="5" t="s">
        <v>4</v>
      </c>
      <c r="B44">
        <v>196.03</v>
      </c>
      <c r="C44">
        <v>14.35</v>
      </c>
      <c r="D44">
        <v>25.22</v>
      </c>
      <c r="E44">
        <v>6.44</v>
      </c>
      <c r="F44">
        <v>4.6500000000000004</v>
      </c>
      <c r="G44">
        <v>18.88</v>
      </c>
      <c r="H44">
        <v>102.29</v>
      </c>
      <c r="I44">
        <v>-17.97</v>
      </c>
      <c r="J44">
        <v>12.81</v>
      </c>
      <c r="K44">
        <v>19.59</v>
      </c>
    </row>
    <row r="45" spans="1:11" s="5" customFormat="1" x14ac:dyDescent="0.3">
      <c r="A45" s="5" t="s">
        <v>5</v>
      </c>
      <c r="B45">
        <v>168.85</v>
      </c>
      <c r="C45">
        <v>183.54</v>
      </c>
      <c r="D45">
        <v>201.43</v>
      </c>
      <c r="E45">
        <v>207.83</v>
      </c>
      <c r="F45">
        <v>209.72</v>
      </c>
      <c r="G45">
        <v>220.18</v>
      </c>
      <c r="H45">
        <v>230.31</v>
      </c>
      <c r="I45">
        <v>246.79</v>
      </c>
      <c r="J45">
        <v>269.39999999999998</v>
      </c>
      <c r="K45">
        <v>255.03</v>
      </c>
    </row>
    <row r="46" spans="1:11" s="5" customFormat="1" x14ac:dyDescent="0.3">
      <c r="A46" s="5" t="s">
        <v>6</v>
      </c>
      <c r="B46">
        <v>114.18</v>
      </c>
      <c r="C46">
        <v>134.38999999999999</v>
      </c>
      <c r="D46">
        <v>138.11000000000001</v>
      </c>
      <c r="E46">
        <v>133.44</v>
      </c>
      <c r="F46">
        <v>116.13</v>
      </c>
      <c r="G46">
        <v>110.69</v>
      </c>
      <c r="H46">
        <v>105.71</v>
      </c>
      <c r="I46">
        <v>103.08</v>
      </c>
      <c r="J46">
        <v>117.49</v>
      </c>
      <c r="K46">
        <v>120.27</v>
      </c>
    </row>
    <row r="47" spans="1:11" s="5" customFormat="1" x14ac:dyDescent="0.3">
      <c r="A47" s="5" t="s">
        <v>7</v>
      </c>
      <c r="B47">
        <v>224.35</v>
      </c>
      <c r="C47">
        <v>76.849999999999994</v>
      </c>
      <c r="D47">
        <v>82.01</v>
      </c>
      <c r="E47">
        <v>66.91</v>
      </c>
      <c r="F47">
        <v>70.69</v>
      </c>
      <c r="G47">
        <v>125.99</v>
      </c>
      <c r="H47">
        <v>242.45</v>
      </c>
      <c r="I47">
        <v>115.99</v>
      </c>
      <c r="J47">
        <v>110.82</v>
      </c>
      <c r="K47">
        <v>148.15</v>
      </c>
    </row>
    <row r="48" spans="1:11" s="5" customFormat="1" x14ac:dyDescent="0.3">
      <c r="A48" s="5" t="s">
        <v>8</v>
      </c>
      <c r="B48">
        <v>16.11</v>
      </c>
      <c r="C48">
        <v>18.82</v>
      </c>
      <c r="D48">
        <v>15.47</v>
      </c>
      <c r="E48">
        <v>23.67</v>
      </c>
      <c r="F48">
        <v>21.36</v>
      </c>
      <c r="G48">
        <v>31.66</v>
      </c>
      <c r="H48">
        <v>47.86</v>
      </c>
      <c r="I48">
        <v>43.11</v>
      </c>
      <c r="J48">
        <v>28.4</v>
      </c>
      <c r="K48">
        <v>48.13</v>
      </c>
    </row>
    <row r="49" spans="1:11" s="5" customFormat="1" x14ac:dyDescent="0.3">
      <c r="A49" s="5" t="s">
        <v>9</v>
      </c>
      <c r="B49">
        <v>207.52</v>
      </c>
      <c r="C49">
        <v>55.8</v>
      </c>
      <c r="D49">
        <v>64.05</v>
      </c>
      <c r="E49">
        <v>42.91</v>
      </c>
      <c r="F49">
        <v>48.01</v>
      </c>
      <c r="G49">
        <v>91.76</v>
      </c>
      <c r="H49">
        <v>186.03</v>
      </c>
      <c r="I49">
        <v>70.900000000000006</v>
      </c>
      <c r="J49">
        <v>79.790000000000006</v>
      </c>
      <c r="K49">
        <v>97.24</v>
      </c>
    </row>
    <row r="50" spans="1:11" x14ac:dyDescent="0.3">
      <c r="A50" s="5" t="s">
        <v>3</v>
      </c>
      <c r="B50">
        <v>311.35000000000002</v>
      </c>
      <c r="C50">
        <v>380.43</v>
      </c>
      <c r="D50">
        <v>396.33</v>
      </c>
      <c r="E50">
        <v>401.74</v>
      </c>
      <c r="F50">
        <v>391.89</v>
      </c>
      <c r="G50">
        <v>437.98</v>
      </c>
      <c r="H50">
        <v>476.18</v>
      </c>
      <c r="I50">
        <v>483.83</v>
      </c>
      <c r="J50">
        <v>484.9</v>
      </c>
      <c r="K50">
        <v>503.86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 x14ac:dyDescent="0.3">
      <c r="A57" s="5" t="s">
        <v>11</v>
      </c>
      <c r="B57">
        <v>65.95</v>
      </c>
      <c r="C57">
        <v>65.98</v>
      </c>
      <c r="D57">
        <v>131.97</v>
      </c>
      <c r="E57">
        <v>131.97</v>
      </c>
      <c r="F57">
        <v>131.97</v>
      </c>
      <c r="G57">
        <v>131.97</v>
      </c>
      <c r="H57">
        <v>131.97</v>
      </c>
      <c r="I57">
        <v>131.97</v>
      </c>
      <c r="J57">
        <v>131.97</v>
      </c>
      <c r="K57">
        <v>131.97</v>
      </c>
    </row>
    <row r="58" spans="1:11" x14ac:dyDescent="0.3">
      <c r="A58" s="5" t="s">
        <v>12</v>
      </c>
      <c r="B58">
        <v>739.35</v>
      </c>
      <c r="C58">
        <v>901.75</v>
      </c>
      <c r="D58">
        <v>1127.67</v>
      </c>
      <c r="E58">
        <v>990.06</v>
      </c>
      <c r="F58">
        <v>1294.8599999999999</v>
      </c>
      <c r="G58">
        <v>1813</v>
      </c>
      <c r="H58">
        <v>1905.82</v>
      </c>
      <c r="I58">
        <v>2038.67</v>
      </c>
      <c r="J58">
        <v>1970.78</v>
      </c>
      <c r="K58">
        <v>2160.13</v>
      </c>
    </row>
    <row r="59" spans="1:11" x14ac:dyDescent="0.3">
      <c r="A59" s="5" t="s">
        <v>37</v>
      </c>
      <c r="E59">
        <v>1670.06</v>
      </c>
      <c r="F59">
        <v>1619.98</v>
      </c>
      <c r="G59">
        <v>2106.1</v>
      </c>
      <c r="H59">
        <v>2553.7399999999998</v>
      </c>
      <c r="I59">
        <v>4206.8599999999997</v>
      </c>
      <c r="J59">
        <v>4371.82</v>
      </c>
      <c r="K59">
        <v>4902.22</v>
      </c>
    </row>
    <row r="60" spans="1:11" x14ac:dyDescent="0.3">
      <c r="A60" s="5" t="s">
        <v>38</v>
      </c>
      <c r="B60">
        <v>485.34</v>
      </c>
      <c r="C60">
        <v>529.01</v>
      </c>
      <c r="D60">
        <v>596.1</v>
      </c>
      <c r="E60">
        <v>577.79999999999995</v>
      </c>
      <c r="F60">
        <v>719.96</v>
      </c>
      <c r="G60">
        <v>730.6</v>
      </c>
      <c r="H60">
        <v>790.6</v>
      </c>
      <c r="I60">
        <v>1660.04</v>
      </c>
      <c r="J60">
        <v>1929.42</v>
      </c>
      <c r="K60">
        <v>2172.3200000000002</v>
      </c>
    </row>
    <row r="61" spans="1:11" s="1" customFormat="1" x14ac:dyDescent="0.3">
      <c r="A61" s="1" t="s">
        <v>13</v>
      </c>
      <c r="B61">
        <v>1290.6400000000001</v>
      </c>
      <c r="C61">
        <v>1496.74</v>
      </c>
      <c r="D61">
        <v>1855.74</v>
      </c>
      <c r="E61">
        <v>3369.89</v>
      </c>
      <c r="F61">
        <v>3766.77</v>
      </c>
      <c r="G61">
        <v>4781.67</v>
      </c>
      <c r="H61">
        <v>5382.13</v>
      </c>
      <c r="I61">
        <v>8037.54</v>
      </c>
      <c r="J61">
        <v>8403.99</v>
      </c>
      <c r="K61">
        <v>9366.64</v>
      </c>
    </row>
    <row r="62" spans="1:11" x14ac:dyDescent="0.3">
      <c r="A62" s="5" t="s">
        <v>14</v>
      </c>
      <c r="B62">
        <v>800.15</v>
      </c>
      <c r="C62">
        <v>789.22</v>
      </c>
      <c r="D62">
        <v>809.46</v>
      </c>
      <c r="E62">
        <v>2188.7199999999998</v>
      </c>
      <c r="F62">
        <v>2145.5</v>
      </c>
      <c r="G62">
        <v>2736.6</v>
      </c>
      <c r="H62">
        <v>3488.23</v>
      </c>
      <c r="I62">
        <v>6183.85</v>
      </c>
      <c r="J62">
        <v>6434.5</v>
      </c>
      <c r="K62">
        <v>7353.09</v>
      </c>
    </row>
    <row r="63" spans="1:11" x14ac:dyDescent="0.3">
      <c r="A63" s="5" t="s">
        <v>15</v>
      </c>
      <c r="B63">
        <v>60.77</v>
      </c>
      <c r="C63">
        <v>14.22</v>
      </c>
      <c r="D63">
        <v>15.72</v>
      </c>
      <c r="E63">
        <v>41.17</v>
      </c>
      <c r="F63">
        <v>28.55</v>
      </c>
      <c r="G63">
        <v>46.55</v>
      </c>
      <c r="H63">
        <v>183.79</v>
      </c>
      <c r="I63">
        <v>117.76</v>
      </c>
      <c r="J63">
        <v>255.17</v>
      </c>
      <c r="K63">
        <v>160.19999999999999</v>
      </c>
    </row>
    <row r="64" spans="1:11" x14ac:dyDescent="0.3">
      <c r="A64" s="5" t="s">
        <v>16</v>
      </c>
      <c r="B64">
        <v>93.57</v>
      </c>
      <c r="C64">
        <v>263.10000000000002</v>
      </c>
      <c r="D64">
        <v>180.8</v>
      </c>
      <c r="E64">
        <v>51.18</v>
      </c>
      <c r="F64">
        <v>516.74</v>
      </c>
      <c r="G64">
        <v>926.78</v>
      </c>
      <c r="H64">
        <v>821.81</v>
      </c>
      <c r="I64">
        <v>308.02999999999997</v>
      </c>
      <c r="J64">
        <v>176.02</v>
      </c>
      <c r="K64">
        <v>199.03</v>
      </c>
    </row>
    <row r="65" spans="1:11" x14ac:dyDescent="0.3">
      <c r="A65" s="5" t="s">
        <v>39</v>
      </c>
      <c r="B65">
        <v>336.15</v>
      </c>
      <c r="C65">
        <v>430.2</v>
      </c>
      <c r="D65">
        <v>849.76</v>
      </c>
      <c r="E65">
        <v>1088.82</v>
      </c>
      <c r="F65">
        <v>1075.98</v>
      </c>
      <c r="G65">
        <v>1071.74</v>
      </c>
      <c r="H65">
        <v>888.3</v>
      </c>
      <c r="I65">
        <v>1427.9</v>
      </c>
      <c r="J65">
        <v>1538.3</v>
      </c>
      <c r="K65">
        <v>1654.32</v>
      </c>
    </row>
    <row r="66" spans="1:11" s="1" customFormat="1" x14ac:dyDescent="0.3">
      <c r="A66" s="1" t="s">
        <v>13</v>
      </c>
      <c r="B66">
        <v>1290.6400000000001</v>
      </c>
      <c r="C66">
        <v>1496.74</v>
      </c>
      <c r="D66">
        <v>1855.74</v>
      </c>
      <c r="E66">
        <v>3369.89</v>
      </c>
      <c r="F66">
        <v>3766.77</v>
      </c>
      <c r="G66">
        <v>4781.67</v>
      </c>
      <c r="H66">
        <v>5382.13</v>
      </c>
      <c r="I66">
        <v>8037.54</v>
      </c>
      <c r="J66">
        <v>8403.99</v>
      </c>
      <c r="K66">
        <v>9366.64</v>
      </c>
    </row>
    <row r="67" spans="1:11" s="5" customFormat="1" x14ac:dyDescent="0.3">
      <c r="A67" s="5" t="s">
        <v>44</v>
      </c>
      <c r="B67">
        <v>16.100000000000001</v>
      </c>
      <c r="C67">
        <v>15.65</v>
      </c>
      <c r="D67">
        <v>27.44</v>
      </c>
      <c r="E67">
        <v>16.64</v>
      </c>
      <c r="F67">
        <v>16.8</v>
      </c>
      <c r="G67">
        <v>22.05</v>
      </c>
      <c r="H67">
        <v>28.73</v>
      </c>
      <c r="I67">
        <v>265.07</v>
      </c>
      <c r="J67">
        <v>330.07</v>
      </c>
      <c r="K67">
        <v>374.78</v>
      </c>
    </row>
    <row r="68" spans="1:11" x14ac:dyDescent="0.3">
      <c r="A68" s="5" t="s">
        <v>30</v>
      </c>
      <c r="B68">
        <v>60.72</v>
      </c>
      <c r="C68">
        <v>64.209999999999994</v>
      </c>
      <c r="D68">
        <v>77.08</v>
      </c>
      <c r="E68">
        <v>94.72</v>
      </c>
      <c r="F68">
        <v>133.13</v>
      </c>
      <c r="G68">
        <v>161.18</v>
      </c>
      <c r="H68">
        <v>177</v>
      </c>
      <c r="I68">
        <v>409.89</v>
      </c>
      <c r="J68">
        <v>405.63</v>
      </c>
      <c r="K68">
        <v>308.52</v>
      </c>
    </row>
    <row r="69" spans="1:11" x14ac:dyDescent="0.3">
      <c r="A69" s="3" t="s">
        <v>53</v>
      </c>
      <c r="B69">
        <v>35.39</v>
      </c>
      <c r="C69">
        <v>129.03</v>
      </c>
      <c r="D69">
        <v>494.27</v>
      </c>
      <c r="E69">
        <v>655.88</v>
      </c>
      <c r="F69">
        <v>539.17999999999995</v>
      </c>
      <c r="G69">
        <v>563.36</v>
      </c>
      <c r="H69">
        <v>256.91000000000003</v>
      </c>
      <c r="I69">
        <v>156.94999999999999</v>
      </c>
      <c r="J69">
        <v>154.22999999999999</v>
      </c>
      <c r="K69">
        <v>234.88</v>
      </c>
    </row>
    <row r="70" spans="1:11" x14ac:dyDescent="0.3">
      <c r="A70" s="3" t="s">
        <v>40</v>
      </c>
      <c r="B70">
        <v>65949070</v>
      </c>
      <c r="C70">
        <v>65984520</v>
      </c>
      <c r="D70">
        <v>131969040</v>
      </c>
      <c r="E70">
        <v>131969040</v>
      </c>
      <c r="F70">
        <v>131969040</v>
      </c>
      <c r="G70">
        <v>131969040</v>
      </c>
      <c r="H70">
        <v>659845200</v>
      </c>
      <c r="I70">
        <v>659845200</v>
      </c>
      <c r="J70">
        <v>659845200</v>
      </c>
      <c r="K70">
        <v>659845200</v>
      </c>
    </row>
    <row r="71" spans="1:11" x14ac:dyDescent="0.3">
      <c r="A71" s="3" t="s">
        <v>41</v>
      </c>
      <c r="D71">
        <v>65984520</v>
      </c>
      <c r="E71">
        <v>65984520</v>
      </c>
      <c r="F71">
        <v>65984520</v>
      </c>
      <c r="G71">
        <v>65984520</v>
      </c>
      <c r="H71">
        <v>65984520</v>
      </c>
    </row>
    <row r="72" spans="1:11" x14ac:dyDescent="0.3">
      <c r="A72" s="3" t="s">
        <v>54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1" customFormat="1" x14ac:dyDescent="0.3">
      <c r="A82" s="5" t="s">
        <v>18</v>
      </c>
      <c r="B82">
        <v>203.59</v>
      </c>
      <c r="C82">
        <v>409.01</v>
      </c>
      <c r="D82">
        <v>423.52</v>
      </c>
      <c r="E82">
        <v>727.79</v>
      </c>
      <c r="F82">
        <v>750.64</v>
      </c>
      <c r="G82">
        <v>930.03</v>
      </c>
      <c r="H82">
        <v>1026.1600000000001</v>
      </c>
      <c r="I82">
        <v>1009.64</v>
      </c>
      <c r="J82">
        <v>1657.86</v>
      </c>
      <c r="K82">
        <v>1893.55</v>
      </c>
    </row>
    <row r="83" spans="1:11" s="5" customFormat="1" x14ac:dyDescent="0.3">
      <c r="A83" s="5" t="s">
        <v>19</v>
      </c>
      <c r="B83">
        <v>-188.3</v>
      </c>
      <c r="C83">
        <v>-331.94</v>
      </c>
      <c r="D83">
        <v>-457.49</v>
      </c>
      <c r="E83">
        <v>-98.71</v>
      </c>
      <c r="F83">
        <v>-602.14</v>
      </c>
      <c r="G83">
        <v>-654.16999999999996</v>
      </c>
      <c r="H83">
        <v>-594.86</v>
      </c>
      <c r="I83">
        <v>-1285.3699999999999</v>
      </c>
      <c r="J83">
        <v>-850.06</v>
      </c>
      <c r="K83">
        <v>-1084.48</v>
      </c>
    </row>
    <row r="84" spans="1:11" s="5" customFormat="1" x14ac:dyDescent="0.3">
      <c r="A84" s="5" t="s">
        <v>20</v>
      </c>
      <c r="B84">
        <v>-14.82</v>
      </c>
      <c r="C84">
        <v>-34.72</v>
      </c>
      <c r="D84">
        <v>-16.7</v>
      </c>
      <c r="E84">
        <v>-461.43</v>
      </c>
      <c r="F84">
        <v>-288.74</v>
      </c>
      <c r="G84">
        <v>-306.62</v>
      </c>
      <c r="H84">
        <v>-426.43</v>
      </c>
      <c r="I84">
        <v>377.24</v>
      </c>
      <c r="J84">
        <v>-839.31</v>
      </c>
      <c r="K84">
        <v>-780.13</v>
      </c>
    </row>
    <row r="85" spans="1:11" s="1" customFormat="1" x14ac:dyDescent="0.3">
      <c r="A85" s="5" t="s">
        <v>21</v>
      </c>
      <c r="B85">
        <v>0.47</v>
      </c>
      <c r="C85">
        <v>42.35</v>
      </c>
      <c r="D85">
        <v>-50.68</v>
      </c>
      <c r="E85">
        <v>167.65</v>
      </c>
      <c r="F85">
        <v>-140.24</v>
      </c>
      <c r="G85">
        <v>-30.76</v>
      </c>
      <c r="H85">
        <v>4.88</v>
      </c>
      <c r="I85">
        <v>101.51</v>
      </c>
      <c r="J85">
        <v>-31.51</v>
      </c>
      <c r="K85">
        <v>28.94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43</v>
      </c>
      <c r="B90">
        <v>110.74</v>
      </c>
      <c r="C90">
        <v>232.59</v>
      </c>
      <c r="D90">
        <v>288.8</v>
      </c>
      <c r="E90">
        <v>294.29000000000002</v>
      </c>
      <c r="F90">
        <v>582.19000000000005</v>
      </c>
      <c r="G90">
        <v>527.29999999999995</v>
      </c>
      <c r="H90">
        <v>440.1</v>
      </c>
      <c r="I90">
        <v>448.85</v>
      </c>
      <c r="J90">
        <v>664.35</v>
      </c>
      <c r="K90">
        <v>434.1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9">
        <v>65.94</v>
      </c>
      <c r="C93" s="9">
        <v>65.98</v>
      </c>
      <c r="D93" s="9">
        <v>65.98</v>
      </c>
      <c r="E93" s="9">
        <v>65.98</v>
      </c>
      <c r="F93" s="9">
        <v>65.98</v>
      </c>
      <c r="G93" s="9">
        <v>65.98</v>
      </c>
      <c r="H93" s="9">
        <v>65.98</v>
      </c>
      <c r="I93" s="9">
        <v>65.98</v>
      </c>
      <c r="J93" s="9">
        <v>65.98</v>
      </c>
      <c r="K93" s="9">
        <v>65.98</v>
      </c>
    </row>
  </sheetData>
  <sheetProtection algorithmName="SHA-512" hashValue="5fhwUDoWS6cqTzOtauhQAxUaWUhyBASMKfUGp+5CxIegp5T5djHVOZavkTMpz2wS3OQKgq0SEwoI/g06aiwXJg==" saltValue="rhiD19kAoWM5ymOiMNtA1w==" spinCount="100000" sheet="1" objects="1" scenarios="1"/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B273-17DF-4B4A-8C22-510F31495ED6}">
  <sheetPr>
    <tabColor rgb="FFFF0000"/>
  </sheetPr>
  <dimension ref="B2:K9"/>
  <sheetViews>
    <sheetView showGridLines="0" topLeftCell="B2" workbookViewId="0">
      <selection activeCell="D11" sqref="D11"/>
    </sheetView>
  </sheetViews>
  <sheetFormatPr defaultRowHeight="14.4" x14ac:dyDescent="0.3"/>
  <cols>
    <col min="1" max="1" width="1.88671875" customWidth="1"/>
    <col min="3" max="3" width="18.33203125" customWidth="1"/>
  </cols>
  <sheetData>
    <row r="2" spans="2:11" ht="43.8" thickBot="1" x14ac:dyDescent="0.35">
      <c r="B2" s="47" t="s">
        <v>122</v>
      </c>
      <c r="C2" s="48" t="s">
        <v>123</v>
      </c>
      <c r="D2" s="49" t="s">
        <v>131</v>
      </c>
      <c r="E2" s="49" t="s">
        <v>250</v>
      </c>
      <c r="F2" s="49" t="s">
        <v>132</v>
      </c>
      <c r="G2" s="49" t="s">
        <v>133</v>
      </c>
      <c r="H2" s="49" t="s">
        <v>253</v>
      </c>
      <c r="I2" s="49" t="s">
        <v>65</v>
      </c>
      <c r="J2" s="49" t="s">
        <v>251</v>
      </c>
      <c r="K2" s="49" t="s">
        <v>252</v>
      </c>
    </row>
    <row r="3" spans="2:11" x14ac:dyDescent="0.3">
      <c r="B3" s="50">
        <v>1</v>
      </c>
      <c r="C3" s="51" t="s">
        <v>124</v>
      </c>
      <c r="D3" s="52">
        <v>422.1</v>
      </c>
      <c r="E3" s="52">
        <v>65.98</v>
      </c>
      <c r="F3" s="52">
        <v>4902.22</v>
      </c>
      <c r="G3" s="52">
        <v>27852.080000000002</v>
      </c>
      <c r="H3" s="52">
        <v>32519.420000000002</v>
      </c>
      <c r="I3" s="52">
        <v>2031.02</v>
      </c>
      <c r="J3" s="52">
        <v>9838.4599999999991</v>
      </c>
      <c r="K3" s="52">
        <v>449.93</v>
      </c>
    </row>
    <row r="4" spans="2:11" x14ac:dyDescent="0.3">
      <c r="B4" s="53">
        <v>2</v>
      </c>
      <c r="C4" s="54" t="s">
        <v>125</v>
      </c>
      <c r="D4" s="55">
        <v>1200.5999999999999</v>
      </c>
      <c r="E4" s="55">
        <v>13.17</v>
      </c>
      <c r="F4" s="55">
        <v>244.79</v>
      </c>
      <c r="G4" s="55">
        <v>15813.82</v>
      </c>
      <c r="H4" s="52">
        <v>15999.25</v>
      </c>
      <c r="I4" s="52">
        <v>854.82999999999993</v>
      </c>
      <c r="J4" s="55">
        <v>1724.96</v>
      </c>
      <c r="K4" s="55">
        <v>486.11</v>
      </c>
    </row>
    <row r="5" spans="2:11" x14ac:dyDescent="0.3">
      <c r="B5" s="56">
        <v>3</v>
      </c>
      <c r="C5" s="51" t="s">
        <v>126</v>
      </c>
      <c r="D5" s="57">
        <v>121.5</v>
      </c>
      <c r="E5" s="57">
        <v>123.29</v>
      </c>
      <c r="F5" s="57">
        <v>3833.15</v>
      </c>
      <c r="G5" s="57">
        <v>14980.21</v>
      </c>
      <c r="H5" s="52">
        <v>18318.560000000001</v>
      </c>
      <c r="I5" s="52">
        <v>948.36999999999989</v>
      </c>
      <c r="J5" s="57">
        <v>5835.03</v>
      </c>
      <c r="K5" s="57">
        <v>-27.66</v>
      </c>
    </row>
    <row r="6" spans="2:11" x14ac:dyDescent="0.3">
      <c r="B6" s="53">
        <v>4</v>
      </c>
      <c r="C6" s="54" t="s">
        <v>127</v>
      </c>
      <c r="D6" s="55">
        <v>581.29999999999995</v>
      </c>
      <c r="E6" s="55">
        <v>15.59</v>
      </c>
      <c r="F6" s="55">
        <v>1804.79</v>
      </c>
      <c r="G6" s="55">
        <v>9064.57</v>
      </c>
      <c r="H6" s="52">
        <v>10852.43</v>
      </c>
      <c r="I6" s="52">
        <v>375.65</v>
      </c>
      <c r="J6" s="55">
        <v>2703.57</v>
      </c>
      <c r="K6" s="55">
        <v>31.7</v>
      </c>
    </row>
    <row r="7" spans="2:11" x14ac:dyDescent="0.3">
      <c r="B7" s="56">
        <v>5</v>
      </c>
      <c r="C7" s="51" t="s">
        <v>128</v>
      </c>
      <c r="D7" s="57">
        <v>92.32</v>
      </c>
      <c r="E7" s="57">
        <v>71.22</v>
      </c>
      <c r="F7" s="57">
        <v>1967</v>
      </c>
      <c r="G7" s="57">
        <v>6575.21</v>
      </c>
      <c r="H7" s="52">
        <v>8483.2999999999993</v>
      </c>
      <c r="I7" s="52">
        <v>402.11</v>
      </c>
      <c r="J7" s="57">
        <v>2947.53</v>
      </c>
      <c r="K7" s="57">
        <v>-191.72</v>
      </c>
    </row>
    <row r="8" spans="2:11" x14ac:dyDescent="0.3">
      <c r="B8" s="53">
        <v>6</v>
      </c>
      <c r="C8" s="54" t="s">
        <v>129</v>
      </c>
      <c r="D8" s="55">
        <v>196.5</v>
      </c>
      <c r="E8" s="55">
        <v>32.14</v>
      </c>
      <c r="F8" s="55">
        <v>1417.13</v>
      </c>
      <c r="G8" s="55">
        <v>6315.17</v>
      </c>
      <c r="H8" s="52">
        <v>7664.1900000000005</v>
      </c>
      <c r="I8" s="52">
        <v>527.48</v>
      </c>
      <c r="J8" s="55">
        <v>3239.45</v>
      </c>
      <c r="K8" s="55">
        <v>-16.21</v>
      </c>
    </row>
    <row r="9" spans="2:11" x14ac:dyDescent="0.3">
      <c r="B9" s="56">
        <v>7</v>
      </c>
      <c r="C9" s="51" t="s">
        <v>130</v>
      </c>
      <c r="D9" s="57">
        <v>678.85</v>
      </c>
      <c r="E9" s="57">
        <v>3.91</v>
      </c>
      <c r="F9" s="57">
        <v>885.27</v>
      </c>
      <c r="G9" s="57">
        <v>2655.62</v>
      </c>
      <c r="H9" s="52">
        <v>3513.23</v>
      </c>
      <c r="I9" s="52">
        <v>230.89999999999998</v>
      </c>
      <c r="J9" s="57">
        <v>1467.63</v>
      </c>
      <c r="K9" s="57">
        <v>-42.94</v>
      </c>
    </row>
  </sheetData>
  <sheetProtection algorithmName="SHA-512" hashValue="TccqTkMvuhOndoUo9EqiElUVzvkzb2MzOgWZ1WBIPMvmdApvkQHR63DfDWgr3nUYVSxg1KZlcZSUtPmmxGa3sA==" saltValue="YpUtdPeko2zgFT13WdXgTA==" spinCount="100000" sheet="1" objects="1" scenarios="1"/>
  <hyperlinks>
    <hyperlink ref="C3" r:id="rId1" display="https://www.screener.in/company/JUBLFOOD/consolidated/" xr:uid="{B756545E-580A-4FBC-86BF-528CD8CF9D54}"/>
    <hyperlink ref="C4" r:id="rId2" display="https://www.screener.in/company/TRAVELFOOD/consolidated/" xr:uid="{BCCB55FB-70E9-4702-AF09-BD79734E628E}"/>
    <hyperlink ref="C5" r:id="rId3" display="https://www.screener.in/company/DEVYANI/consolidated/" xr:uid="{8ACB830F-B7CB-47F7-9B17-50B6382FB4A5}"/>
    <hyperlink ref="C6" r:id="rId4" display="https://www.screener.in/company/WESTLIFE/consolidated/" xr:uid="{EF1A6078-E91A-4E8F-AE9E-17F92370641A}"/>
    <hyperlink ref="C7" r:id="rId5" display="https://www.screener.in/company/RBA/consolidated/" xr:uid="{129D058E-0755-4AA7-91C8-5B7D8641E671}"/>
    <hyperlink ref="C8" r:id="rId6" display="https://www.screener.in/company/SAPPHIRE/consolidated/" xr:uid="{0A75EB05-AB14-47C7-AF08-B9A2B7169212}"/>
    <hyperlink ref="C9" r:id="rId7" display="https://www.screener.in/company/UFBL/consolidated/" xr:uid="{0D7F5CE3-BEE4-4D7E-86AC-B9204F9AC3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6241-D2CE-4530-9562-79C3AEEE28AD}">
  <sheetPr>
    <tabColor rgb="FFFF0000"/>
  </sheetPr>
  <dimension ref="B2:N35"/>
  <sheetViews>
    <sheetView showGridLines="0" workbookViewId="0">
      <pane xSplit="1" ySplit="2" topLeftCell="B3" activePane="bottomRight" state="frozen"/>
      <selection activeCell="K20" sqref="K20"/>
      <selection pane="topRight" activeCell="K20" sqref="K20"/>
      <selection pane="bottomLeft" activeCell="K20" sqref="K20"/>
      <selection pane="bottomRight" activeCell="L21" sqref="L21"/>
    </sheetView>
  </sheetViews>
  <sheetFormatPr defaultRowHeight="14.4" x14ac:dyDescent="0.3"/>
  <cols>
    <col min="1" max="1" width="1.88671875" customWidth="1"/>
  </cols>
  <sheetData>
    <row r="2" spans="2:14" ht="15" thickBot="1" x14ac:dyDescent="0.35">
      <c r="B2" s="12" t="s">
        <v>56</v>
      </c>
      <c r="C2" s="78"/>
      <c r="D2" s="78"/>
      <c r="E2" s="78">
        <v>42795</v>
      </c>
      <c r="F2" s="78">
        <v>43160</v>
      </c>
      <c r="G2" s="78">
        <v>43525</v>
      </c>
      <c r="H2" s="78">
        <v>43891</v>
      </c>
      <c r="I2" s="78">
        <v>44256</v>
      </c>
      <c r="J2" s="78">
        <v>44621</v>
      </c>
      <c r="K2" s="78">
        <v>44986</v>
      </c>
      <c r="L2" s="78">
        <v>45352</v>
      </c>
      <c r="M2" s="78">
        <v>45717</v>
      </c>
      <c r="N2" s="78">
        <v>46082</v>
      </c>
    </row>
    <row r="3" spans="2:14" x14ac:dyDescent="0.3">
      <c r="B3" s="46" t="s">
        <v>163</v>
      </c>
      <c r="C3" s="28"/>
      <c r="D3" s="28"/>
      <c r="E3" s="28">
        <v>66</v>
      </c>
      <c r="F3" s="28">
        <v>66</v>
      </c>
      <c r="G3" s="28">
        <v>132</v>
      </c>
      <c r="H3" s="28">
        <v>132</v>
      </c>
      <c r="I3" s="28">
        <v>132</v>
      </c>
      <c r="J3" s="28">
        <v>132</v>
      </c>
      <c r="K3" s="28">
        <v>132</v>
      </c>
      <c r="L3" s="28">
        <v>132</v>
      </c>
      <c r="M3" s="28">
        <v>132</v>
      </c>
      <c r="N3" s="28">
        <v>132</v>
      </c>
    </row>
    <row r="4" spans="2:14" ht="15" thickBot="1" x14ac:dyDescent="0.35">
      <c r="B4" s="45" t="s">
        <v>12</v>
      </c>
      <c r="C4" s="33"/>
      <c r="D4" s="33"/>
      <c r="E4" s="33">
        <v>739</v>
      </c>
      <c r="F4" s="33">
        <v>902</v>
      </c>
      <c r="G4" s="34">
        <v>1128</v>
      </c>
      <c r="H4" s="33">
        <v>990</v>
      </c>
      <c r="I4" s="34">
        <v>1295</v>
      </c>
      <c r="J4" s="34">
        <v>1813</v>
      </c>
      <c r="K4" s="34">
        <v>1906</v>
      </c>
      <c r="L4" s="34">
        <v>2039</v>
      </c>
      <c r="M4" s="34">
        <v>1971</v>
      </c>
      <c r="N4" s="34">
        <v>2160</v>
      </c>
    </row>
    <row r="5" spans="2:14" x14ac:dyDescent="0.3">
      <c r="B5" s="24" t="s">
        <v>164</v>
      </c>
      <c r="C5" s="25"/>
      <c r="D5" s="25"/>
      <c r="E5" s="25"/>
      <c r="F5" s="25"/>
      <c r="G5" s="25"/>
      <c r="H5" s="26"/>
      <c r="I5" s="26"/>
      <c r="J5" s="26"/>
      <c r="K5" s="26"/>
      <c r="L5" s="26"/>
      <c r="M5" s="26"/>
      <c r="N5" s="26"/>
    </row>
    <row r="6" spans="2:14" x14ac:dyDescent="0.3">
      <c r="B6" s="27" t="s">
        <v>165</v>
      </c>
      <c r="C6" s="28"/>
      <c r="D6" s="28"/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120</v>
      </c>
      <c r="K6" s="28">
        <v>183</v>
      </c>
      <c r="L6" s="35">
        <v>1195</v>
      </c>
      <c r="M6" s="35">
        <v>1283</v>
      </c>
      <c r="N6" s="28">
        <v>340</v>
      </c>
    </row>
    <row r="7" spans="2:14" x14ac:dyDescent="0.3">
      <c r="B7" s="27" t="s">
        <v>166</v>
      </c>
      <c r="C7" s="28"/>
      <c r="D7" s="28"/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312</v>
      </c>
      <c r="M7" s="28">
        <v>219</v>
      </c>
      <c r="N7" s="35">
        <v>1406</v>
      </c>
    </row>
    <row r="8" spans="2:14" x14ac:dyDescent="0.3">
      <c r="B8" s="27" t="s">
        <v>167</v>
      </c>
      <c r="C8" s="28"/>
      <c r="D8" s="28"/>
      <c r="E8" s="28">
        <v>0</v>
      </c>
      <c r="F8" s="28">
        <v>0</v>
      </c>
      <c r="G8" s="28">
        <v>0</v>
      </c>
      <c r="H8" s="35">
        <v>1670</v>
      </c>
      <c r="I8" s="35">
        <v>1620</v>
      </c>
      <c r="J8" s="35">
        <v>1986</v>
      </c>
      <c r="K8" s="35">
        <v>2371</v>
      </c>
      <c r="L8" s="35">
        <v>2700</v>
      </c>
      <c r="M8" s="35">
        <v>2870</v>
      </c>
      <c r="N8" s="35">
        <v>3157</v>
      </c>
    </row>
    <row r="9" spans="2:14" ht="15" thickBot="1" x14ac:dyDescent="0.35">
      <c r="B9" s="27" t="s">
        <v>168</v>
      </c>
      <c r="C9" s="28"/>
      <c r="D9" s="28"/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</row>
    <row r="10" spans="2:14" x14ac:dyDescent="0.3">
      <c r="B10" s="29" t="s">
        <v>169</v>
      </c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1"/>
      <c r="N10" s="31"/>
    </row>
    <row r="11" spans="2:14" x14ac:dyDescent="0.3">
      <c r="B11" s="32" t="s">
        <v>170</v>
      </c>
      <c r="C11" s="33"/>
      <c r="D11" s="33"/>
      <c r="E11" s="33">
        <v>0</v>
      </c>
      <c r="F11" s="33">
        <v>0</v>
      </c>
      <c r="G11" s="33">
        <v>3</v>
      </c>
      <c r="H11" s="33">
        <v>11</v>
      </c>
      <c r="I11" s="33">
        <v>9</v>
      </c>
      <c r="J11" s="33">
        <v>10</v>
      </c>
      <c r="K11" s="33">
        <v>0</v>
      </c>
      <c r="L11" s="33">
        <v>73</v>
      </c>
      <c r="M11" s="33">
        <v>80</v>
      </c>
      <c r="N11" s="33">
        <v>96</v>
      </c>
    </row>
    <row r="12" spans="2:14" x14ac:dyDescent="0.3">
      <c r="B12" s="32" t="s">
        <v>171</v>
      </c>
      <c r="C12" s="33"/>
      <c r="D12" s="33"/>
      <c r="E12" s="33">
        <v>314</v>
      </c>
      <c r="F12" s="33">
        <v>389</v>
      </c>
      <c r="G12" s="33">
        <v>421</v>
      </c>
      <c r="H12" s="33">
        <v>447</v>
      </c>
      <c r="I12" s="33">
        <v>533</v>
      </c>
      <c r="J12" s="33">
        <v>537</v>
      </c>
      <c r="K12" s="33">
        <v>561</v>
      </c>
      <c r="L12" s="33">
        <v>790</v>
      </c>
      <c r="M12" s="33">
        <v>901</v>
      </c>
      <c r="N12" s="34">
        <v>1036</v>
      </c>
    </row>
    <row r="13" spans="2:14" x14ac:dyDescent="0.3">
      <c r="B13" s="32" t="s">
        <v>172</v>
      </c>
      <c r="C13" s="33"/>
      <c r="D13" s="33"/>
      <c r="E13" s="33">
        <v>0</v>
      </c>
      <c r="F13" s="33">
        <v>0</v>
      </c>
      <c r="G13" s="33">
        <v>0</v>
      </c>
      <c r="H13" s="33">
        <v>1</v>
      </c>
      <c r="I13" s="33">
        <v>2</v>
      </c>
      <c r="J13" s="33">
        <v>4</v>
      </c>
      <c r="K13" s="33">
        <v>4</v>
      </c>
      <c r="L13" s="33">
        <v>26</v>
      </c>
      <c r="M13" s="33">
        <v>20</v>
      </c>
      <c r="N13" s="33">
        <v>20</v>
      </c>
    </row>
    <row r="14" spans="2:14" ht="15" thickBot="1" x14ac:dyDescent="0.35">
      <c r="B14" s="32" t="s">
        <v>173</v>
      </c>
      <c r="C14" s="33"/>
      <c r="D14" s="33"/>
      <c r="E14" s="33">
        <v>171</v>
      </c>
      <c r="F14" s="33">
        <v>140</v>
      </c>
      <c r="G14" s="33">
        <v>173</v>
      </c>
      <c r="H14" s="33">
        <v>119</v>
      </c>
      <c r="I14" s="33">
        <v>176</v>
      </c>
      <c r="J14" s="33">
        <v>180</v>
      </c>
      <c r="K14" s="33">
        <v>225</v>
      </c>
      <c r="L14" s="33">
        <v>771</v>
      </c>
      <c r="M14" s="33">
        <v>928</v>
      </c>
      <c r="N14" s="34">
        <v>1021</v>
      </c>
    </row>
    <row r="15" spans="2:14" ht="15" thickBot="1" x14ac:dyDescent="0.35">
      <c r="B15" s="24" t="s">
        <v>79</v>
      </c>
      <c r="C15" s="26"/>
      <c r="D15" s="26"/>
      <c r="E15" s="26">
        <v>1291</v>
      </c>
      <c r="F15" s="26">
        <v>1497</v>
      </c>
      <c r="G15" s="26">
        <v>1856</v>
      </c>
      <c r="H15" s="26">
        <v>3370</v>
      </c>
      <c r="I15" s="26">
        <v>3767</v>
      </c>
      <c r="J15" s="26">
        <v>4782</v>
      </c>
      <c r="K15" s="26">
        <v>5382</v>
      </c>
      <c r="L15" s="26">
        <v>8038</v>
      </c>
      <c r="M15" s="26">
        <v>8404</v>
      </c>
      <c r="N15" s="26">
        <v>9367</v>
      </c>
    </row>
    <row r="16" spans="2:14" x14ac:dyDescent="0.3">
      <c r="B16" s="29" t="s">
        <v>174</v>
      </c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</row>
    <row r="17" spans="2:14" x14ac:dyDescent="0.3">
      <c r="B17" s="32" t="s">
        <v>175</v>
      </c>
      <c r="C17" s="33"/>
      <c r="D17" s="33"/>
      <c r="E17" s="33">
        <v>0</v>
      </c>
      <c r="F17" s="33">
        <v>0</v>
      </c>
      <c r="G17" s="33">
        <v>0</v>
      </c>
      <c r="H17" s="33">
        <v>34</v>
      </c>
      <c r="I17" s="33">
        <v>56</v>
      </c>
      <c r="J17" s="33">
        <v>112</v>
      </c>
      <c r="K17" s="33">
        <v>149</v>
      </c>
      <c r="L17" s="33">
        <v>153</v>
      </c>
      <c r="M17" s="33">
        <v>153</v>
      </c>
      <c r="N17" s="33">
        <v>154</v>
      </c>
    </row>
    <row r="18" spans="2:14" x14ac:dyDescent="0.3">
      <c r="B18" s="32" t="s">
        <v>176</v>
      </c>
      <c r="C18" s="33"/>
      <c r="D18" s="33"/>
      <c r="E18" s="33">
        <v>356</v>
      </c>
      <c r="F18" s="33">
        <v>400</v>
      </c>
      <c r="G18" s="33">
        <v>432</v>
      </c>
      <c r="H18" s="33">
        <v>489</v>
      </c>
      <c r="I18" s="33">
        <v>560</v>
      </c>
      <c r="J18" s="33">
        <v>646</v>
      </c>
      <c r="K18" s="33">
        <v>835</v>
      </c>
      <c r="L18" s="34">
        <v>1221</v>
      </c>
      <c r="M18" s="34">
        <v>4992</v>
      </c>
      <c r="N18" s="34">
        <v>5718</v>
      </c>
    </row>
    <row r="19" spans="2:14" x14ac:dyDescent="0.3">
      <c r="B19" s="32" t="s">
        <v>177</v>
      </c>
      <c r="C19" s="33"/>
      <c r="D19" s="33"/>
      <c r="E19" s="33">
        <v>482</v>
      </c>
      <c r="F19" s="33">
        <v>546</v>
      </c>
      <c r="G19" s="33">
        <v>620</v>
      </c>
      <c r="H19" s="33">
        <v>719</v>
      </c>
      <c r="I19" s="33">
        <v>799</v>
      </c>
      <c r="J19" s="33">
        <v>955</v>
      </c>
      <c r="K19" s="34">
        <v>1145</v>
      </c>
      <c r="L19" s="34">
        <v>1575</v>
      </c>
      <c r="M19" s="34">
        <v>1715</v>
      </c>
      <c r="N19" s="34">
        <v>2052</v>
      </c>
    </row>
    <row r="20" spans="2:14" x14ac:dyDescent="0.3">
      <c r="B20" s="32" t="s">
        <v>178</v>
      </c>
      <c r="C20" s="33"/>
      <c r="D20" s="33"/>
      <c r="E20" s="33">
        <v>33</v>
      </c>
      <c r="F20" s="33">
        <v>32</v>
      </c>
      <c r="G20" s="33">
        <v>34</v>
      </c>
      <c r="H20" s="33">
        <v>39</v>
      </c>
      <c r="I20" s="33">
        <v>42</v>
      </c>
      <c r="J20" s="33">
        <v>45</v>
      </c>
      <c r="K20" s="33"/>
      <c r="L20" s="33">
        <v>61</v>
      </c>
      <c r="M20" s="33">
        <v>53</v>
      </c>
      <c r="N20" s="33">
        <v>57</v>
      </c>
    </row>
    <row r="21" spans="2:14" x14ac:dyDescent="0.3">
      <c r="B21" s="32" t="s">
        <v>179</v>
      </c>
      <c r="C21" s="33"/>
      <c r="D21" s="33"/>
      <c r="E21" s="33">
        <v>86</v>
      </c>
      <c r="F21" s="33"/>
      <c r="G21" s="33">
        <v>99</v>
      </c>
      <c r="H21" s="33">
        <v>116</v>
      </c>
      <c r="I21" s="33">
        <v>129</v>
      </c>
      <c r="J21" s="33">
        <v>146</v>
      </c>
      <c r="K21" s="33">
        <v>171</v>
      </c>
      <c r="L21" s="33">
        <v>335</v>
      </c>
      <c r="M21" s="33">
        <v>394</v>
      </c>
      <c r="N21" s="33">
        <v>472</v>
      </c>
    </row>
    <row r="22" spans="2:14" x14ac:dyDescent="0.3">
      <c r="B22" s="32" t="s">
        <v>180</v>
      </c>
      <c r="C22" s="33"/>
      <c r="D22" s="33"/>
      <c r="E22" s="33">
        <v>40</v>
      </c>
      <c r="F22" s="33">
        <v>37</v>
      </c>
      <c r="G22" s="33">
        <v>44</v>
      </c>
      <c r="H22" s="33">
        <v>60</v>
      </c>
      <c r="I22" s="33">
        <v>79</v>
      </c>
      <c r="J22" s="33">
        <v>113</v>
      </c>
      <c r="K22" s="33">
        <v>153</v>
      </c>
      <c r="L22" s="33">
        <v>252</v>
      </c>
      <c r="M22" s="33">
        <v>361</v>
      </c>
      <c r="N22" s="33">
        <v>497</v>
      </c>
    </row>
    <row r="23" spans="2:14" x14ac:dyDescent="0.3">
      <c r="B23" s="32" t="s">
        <v>181</v>
      </c>
      <c r="C23" s="33"/>
      <c r="D23" s="33"/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4">
        <v>1742</v>
      </c>
      <c r="M23" s="34">
        <v>1677</v>
      </c>
      <c r="N23" s="34">
        <v>1807</v>
      </c>
    </row>
    <row r="24" spans="2:14" ht="15" thickBot="1" x14ac:dyDescent="0.35">
      <c r="B24" s="32" t="s">
        <v>182</v>
      </c>
      <c r="C24" s="33"/>
      <c r="D24" s="33"/>
      <c r="E24" s="33">
        <v>53</v>
      </c>
      <c r="F24" s="33">
        <v>68</v>
      </c>
      <c r="G24" s="33">
        <v>81</v>
      </c>
      <c r="H24" s="34">
        <v>2294</v>
      </c>
      <c r="I24" s="34">
        <v>2229</v>
      </c>
      <c r="J24" s="34">
        <v>2644</v>
      </c>
      <c r="K24" s="34">
        <v>3190</v>
      </c>
      <c r="L24" s="34">
        <v>3906</v>
      </c>
      <c r="M24" s="33">
        <v>687</v>
      </c>
      <c r="N24" s="33">
        <v>981</v>
      </c>
    </row>
    <row r="25" spans="2:14" x14ac:dyDescent="0.3">
      <c r="B25" s="77" t="s">
        <v>183</v>
      </c>
      <c r="C25" s="31"/>
      <c r="D25" s="30"/>
      <c r="E25" s="31">
        <v>1050</v>
      </c>
      <c r="F25" s="31">
        <v>1173</v>
      </c>
      <c r="G25" s="31">
        <v>1310</v>
      </c>
      <c r="H25" s="31">
        <v>3751</v>
      </c>
      <c r="I25" s="31">
        <v>3895</v>
      </c>
      <c r="J25" s="31">
        <v>4660</v>
      </c>
      <c r="K25" s="31">
        <v>5702</v>
      </c>
      <c r="L25" s="31">
        <v>9245</v>
      </c>
      <c r="M25" s="31">
        <v>10032</v>
      </c>
      <c r="N25" s="31">
        <v>11737</v>
      </c>
    </row>
    <row r="26" spans="2:14" x14ac:dyDescent="0.3">
      <c r="B26" s="32" t="s">
        <v>184</v>
      </c>
      <c r="C26" s="33"/>
      <c r="D26" s="33"/>
      <c r="E26" s="33">
        <v>250</v>
      </c>
      <c r="F26" s="33">
        <v>384</v>
      </c>
      <c r="G26" s="33">
        <v>501</v>
      </c>
      <c r="H26" s="34">
        <v>1562</v>
      </c>
      <c r="I26" s="34">
        <v>1750</v>
      </c>
      <c r="J26" s="34">
        <v>1924</v>
      </c>
      <c r="K26" s="34">
        <v>2214</v>
      </c>
      <c r="L26" s="34">
        <v>3061</v>
      </c>
      <c r="M26" s="34">
        <v>3598</v>
      </c>
      <c r="N26" s="34">
        <v>4384</v>
      </c>
    </row>
    <row r="27" spans="2:14" x14ac:dyDescent="0.3">
      <c r="B27" s="46" t="s">
        <v>185</v>
      </c>
      <c r="C27" s="28"/>
      <c r="D27" s="28"/>
      <c r="E27" s="28">
        <v>61</v>
      </c>
      <c r="F27" s="28">
        <v>14</v>
      </c>
      <c r="G27" s="28">
        <v>16</v>
      </c>
      <c r="H27" s="28">
        <v>41</v>
      </c>
      <c r="I27" s="28">
        <v>29</v>
      </c>
      <c r="J27" s="28">
        <v>47</v>
      </c>
      <c r="K27" s="28">
        <v>184</v>
      </c>
      <c r="L27" s="28">
        <v>118</v>
      </c>
      <c r="M27" s="28">
        <v>255</v>
      </c>
      <c r="N27" s="28">
        <v>160</v>
      </c>
    </row>
    <row r="28" spans="2:14" ht="15" thickBot="1" x14ac:dyDescent="0.35">
      <c r="B28" s="45" t="s">
        <v>16</v>
      </c>
      <c r="C28" s="33"/>
      <c r="D28" s="33"/>
      <c r="E28" s="33">
        <v>94</v>
      </c>
      <c r="F28" s="33">
        <v>263</v>
      </c>
      <c r="G28" s="33">
        <v>181</v>
      </c>
      <c r="H28" s="33">
        <v>51</v>
      </c>
      <c r="I28" s="33">
        <v>517</v>
      </c>
      <c r="J28" s="33">
        <v>927</v>
      </c>
      <c r="K28" s="33">
        <v>822</v>
      </c>
      <c r="L28" s="33">
        <v>308</v>
      </c>
      <c r="M28" s="33">
        <v>176</v>
      </c>
      <c r="N28" s="33">
        <v>199</v>
      </c>
    </row>
    <row r="29" spans="2:14" x14ac:dyDescent="0.3">
      <c r="B29" s="24" t="s">
        <v>186</v>
      </c>
      <c r="C29" s="25"/>
      <c r="D29" s="25"/>
      <c r="E29" s="25"/>
      <c r="F29" s="25"/>
      <c r="G29" s="25"/>
      <c r="H29" s="26"/>
      <c r="I29" s="26"/>
      <c r="J29" s="26"/>
      <c r="K29" s="25"/>
      <c r="L29" s="26"/>
      <c r="M29" s="26"/>
      <c r="N29" s="26"/>
    </row>
    <row r="30" spans="2:14" x14ac:dyDescent="0.3">
      <c r="B30" s="27" t="s">
        <v>187</v>
      </c>
      <c r="C30" s="28"/>
      <c r="D30" s="28"/>
      <c r="E30" s="28">
        <v>61</v>
      </c>
      <c r="F30" s="28">
        <v>64</v>
      </c>
      <c r="G30" s="28">
        <v>77</v>
      </c>
      <c r="H30" s="28">
        <v>95</v>
      </c>
      <c r="I30" s="28">
        <v>133</v>
      </c>
      <c r="J30" s="28">
        <v>161</v>
      </c>
      <c r="K30" s="28">
        <v>177</v>
      </c>
      <c r="L30" s="28">
        <v>410</v>
      </c>
      <c r="M30" s="28">
        <v>406</v>
      </c>
      <c r="N30" s="28">
        <v>309</v>
      </c>
    </row>
    <row r="31" spans="2:14" x14ac:dyDescent="0.3">
      <c r="B31" s="27" t="s">
        <v>188</v>
      </c>
      <c r="C31" s="28"/>
      <c r="D31" s="28"/>
      <c r="E31" s="28">
        <v>16</v>
      </c>
      <c r="F31" s="28">
        <v>16</v>
      </c>
      <c r="G31" s="28">
        <v>27</v>
      </c>
      <c r="H31" s="28">
        <v>17</v>
      </c>
      <c r="I31" s="28">
        <v>17</v>
      </c>
      <c r="J31" s="28">
        <v>22</v>
      </c>
      <c r="K31" s="28">
        <v>29</v>
      </c>
      <c r="L31" s="28">
        <v>265</v>
      </c>
      <c r="M31" s="28">
        <v>330</v>
      </c>
      <c r="N31" s="28">
        <v>375</v>
      </c>
    </row>
    <row r="32" spans="2:14" x14ac:dyDescent="0.3">
      <c r="B32" s="27" t="s">
        <v>189</v>
      </c>
      <c r="C32" s="28"/>
      <c r="D32" s="28"/>
      <c r="E32" s="28">
        <v>35</v>
      </c>
      <c r="F32" s="28">
        <v>129</v>
      </c>
      <c r="G32" s="28">
        <v>494</v>
      </c>
      <c r="H32" s="28">
        <v>656</v>
      </c>
      <c r="I32" s="28">
        <v>539</v>
      </c>
      <c r="J32" s="28">
        <v>563</v>
      </c>
      <c r="K32" s="28">
        <v>257</v>
      </c>
      <c r="L32" s="28">
        <v>157</v>
      </c>
      <c r="M32" s="28">
        <v>154</v>
      </c>
      <c r="N32" s="28">
        <v>235</v>
      </c>
    </row>
    <row r="33" spans="2:14" x14ac:dyDescent="0.3">
      <c r="B33" s="27" t="s">
        <v>190</v>
      </c>
      <c r="C33" s="28"/>
      <c r="D33" s="28"/>
      <c r="E33" s="28">
        <v>5</v>
      </c>
      <c r="F33" s="28">
        <v>5</v>
      </c>
      <c r="G33" s="28">
        <v>7</v>
      </c>
      <c r="H33" s="28">
        <v>-2</v>
      </c>
      <c r="I33" s="28">
        <v>-3</v>
      </c>
      <c r="J33" s="28">
        <v>-2</v>
      </c>
      <c r="K33" s="28">
        <v>-1</v>
      </c>
      <c r="L33" s="28">
        <v>-1</v>
      </c>
      <c r="M33" s="28">
        <v>-5</v>
      </c>
      <c r="N33" s="28">
        <v>-9</v>
      </c>
    </row>
    <row r="34" spans="2:14" ht="15" thickBot="1" x14ac:dyDescent="0.35">
      <c r="B34" s="27" t="s">
        <v>191</v>
      </c>
      <c r="C34" s="28"/>
      <c r="D34" s="28"/>
      <c r="E34" s="28">
        <v>219</v>
      </c>
      <c r="F34" s="28">
        <v>216</v>
      </c>
      <c r="G34" s="28">
        <v>244</v>
      </c>
      <c r="H34" s="28">
        <v>324</v>
      </c>
      <c r="I34" s="28">
        <v>389</v>
      </c>
      <c r="J34" s="28">
        <v>327</v>
      </c>
      <c r="K34" s="28">
        <v>427</v>
      </c>
      <c r="L34" s="28">
        <v>597</v>
      </c>
      <c r="M34" s="28">
        <v>653</v>
      </c>
      <c r="N34" s="28">
        <v>745</v>
      </c>
    </row>
    <row r="35" spans="2:14" x14ac:dyDescent="0.3">
      <c r="B35" s="29" t="s">
        <v>82</v>
      </c>
      <c r="C35" s="31"/>
      <c r="D35" s="31"/>
      <c r="E35" s="31">
        <v>1291</v>
      </c>
      <c r="F35" s="31">
        <v>1497</v>
      </c>
      <c r="G35" s="31">
        <v>1856</v>
      </c>
      <c r="H35" s="31">
        <v>3370</v>
      </c>
      <c r="I35" s="31">
        <v>3767</v>
      </c>
      <c r="J35" s="31">
        <v>4782</v>
      </c>
      <c r="K35" s="31">
        <v>5382</v>
      </c>
      <c r="L35" s="31">
        <v>8038</v>
      </c>
      <c r="M35" s="31">
        <v>8404</v>
      </c>
      <c r="N35" s="31">
        <v>9367</v>
      </c>
    </row>
  </sheetData>
  <sheetProtection algorithmName="SHA-512" hashValue="As6A5R2ufQdLPIU9ckSPpQWpsENY/9RVv+J18Wp7yAN6JFly7/p4k7SG+0dUe3RtZZ6oe+b8TwHQFfm4hY1ssQ==" saltValue="OLvmIa61ciQZfoft6IC5wQ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DE04-EA05-4C05-BA55-27DA9FCF0EBF}">
  <sheetPr>
    <tabColor rgb="FF002060"/>
  </sheetPr>
  <dimension ref="A2:N104"/>
  <sheetViews>
    <sheetView showGridLines="0" workbookViewId="0">
      <pane xSplit="1" ySplit="11" topLeftCell="B77" activePane="bottomRight" state="frozen"/>
      <selection pane="topRight" activeCell="B1" sqref="B1"/>
      <selection pane="bottomLeft" activeCell="A12" sqref="A12"/>
      <selection pane="bottomRight" activeCell="M8" sqref="M8"/>
    </sheetView>
  </sheetViews>
  <sheetFormatPr defaultRowHeight="14.4" x14ac:dyDescent="0.3"/>
  <cols>
    <col min="1" max="1" width="1.88671875" customWidth="1"/>
    <col min="2" max="2" width="37.109375" customWidth="1"/>
    <col min="5" max="5" width="10.6640625" bestFit="1" customWidth="1"/>
    <col min="6" max="14" width="9" bestFit="1" customWidth="1"/>
  </cols>
  <sheetData>
    <row r="2" spans="1:14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4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4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4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4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4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10" spans="1:14" x14ac:dyDescent="0.3">
      <c r="B10" s="103" t="str">
        <f>"Historical Financial Statement"&amp;" - "&amp;'Data Sheet'!B1</f>
        <v>Historical Financial Statement - JUBILANT FOODWORKS LTD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</row>
    <row r="11" spans="1:14" x14ac:dyDescent="0.3">
      <c r="B11" s="12" t="s">
        <v>56</v>
      </c>
      <c r="C11" s="12"/>
      <c r="D11" s="12"/>
      <c r="E11" s="13">
        <f>'Data Sheet'!B16</f>
        <v>42825</v>
      </c>
      <c r="F11" s="13">
        <f>'Data Sheet'!C16</f>
        <v>43190</v>
      </c>
      <c r="G11" s="13">
        <f>'Data Sheet'!D16</f>
        <v>43555</v>
      </c>
      <c r="H11" s="13">
        <f>'Data Sheet'!E16</f>
        <v>43921</v>
      </c>
      <c r="I11" s="13">
        <f>'Data Sheet'!F16</f>
        <v>44286</v>
      </c>
      <c r="J11" s="13">
        <f>'Data Sheet'!G16</f>
        <v>44651</v>
      </c>
      <c r="K11" s="13">
        <f>'Data Sheet'!H16</f>
        <v>45016</v>
      </c>
      <c r="L11" s="13">
        <f>'Data Sheet'!I16</f>
        <v>45382</v>
      </c>
      <c r="M11" s="13">
        <f>'Data Sheet'!J16</f>
        <v>45747</v>
      </c>
      <c r="N11" s="13">
        <f>'Data Sheet'!K16</f>
        <v>46112</v>
      </c>
    </row>
    <row r="12" spans="1:14" x14ac:dyDescent="0.3">
      <c r="A12" t="s">
        <v>58</v>
      </c>
      <c r="B12" s="15" t="s">
        <v>57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3">
      <c r="B13" t="s">
        <v>1</v>
      </c>
      <c r="E13" s="16">
        <f>'Data Sheet'!B17</f>
        <v>2583.39</v>
      </c>
      <c r="F13" s="16">
        <f>'Data Sheet'!C17</f>
        <v>3018.4</v>
      </c>
      <c r="G13" s="16">
        <f>'Data Sheet'!D17</f>
        <v>3563.14</v>
      </c>
      <c r="H13" s="16">
        <f>'Data Sheet'!E17</f>
        <v>3927.27</v>
      </c>
      <c r="I13" s="16">
        <f>'Data Sheet'!F17</f>
        <v>3311.87</v>
      </c>
      <c r="J13" s="16">
        <f>'Data Sheet'!G17</f>
        <v>4396.12</v>
      </c>
      <c r="K13" s="16">
        <f>'Data Sheet'!H17</f>
        <v>5158.25</v>
      </c>
      <c r="L13" s="16">
        <f>'Data Sheet'!I17</f>
        <v>5655.09</v>
      </c>
      <c r="M13" s="16">
        <f>'Data Sheet'!J17</f>
        <v>8104.49</v>
      </c>
      <c r="N13" s="16">
        <f>'Data Sheet'!K17</f>
        <v>9512.51</v>
      </c>
    </row>
    <row r="14" spans="1:14" s="19" customFormat="1" x14ac:dyDescent="0.3">
      <c r="B14" s="19" t="s">
        <v>10</v>
      </c>
      <c r="E14" s="20" t="s">
        <v>77</v>
      </c>
      <c r="F14" s="21">
        <f>F13/E13-1</f>
        <v>0.16838727408560072</v>
      </c>
      <c r="G14" s="21">
        <f t="shared" ref="G14:N14" si="0">G13/F13-1</f>
        <v>0.18047309833024117</v>
      </c>
      <c r="H14" s="21">
        <f t="shared" si="0"/>
        <v>0.10219357083920366</v>
      </c>
      <c r="I14" s="21">
        <f t="shared" si="0"/>
        <v>-0.15669918289295115</v>
      </c>
      <c r="J14" s="21">
        <f t="shared" si="0"/>
        <v>0.32738301926102165</v>
      </c>
      <c r="K14" s="21">
        <f t="shared" si="0"/>
        <v>0.17336423937472145</v>
      </c>
      <c r="L14" s="21">
        <f t="shared" si="0"/>
        <v>9.6319488198516989E-2</v>
      </c>
      <c r="M14" s="21">
        <f t="shared" si="0"/>
        <v>0.43313192186154414</v>
      </c>
      <c r="N14" s="21">
        <f t="shared" si="0"/>
        <v>0.17373332560099408</v>
      </c>
    </row>
    <row r="16" spans="1:14" x14ac:dyDescent="0.3">
      <c r="B16" t="s">
        <v>59</v>
      </c>
      <c r="E16" s="16">
        <f>SUM('Data Sheet'!B18,'Data Sheet'!B20:B22)-1*'Data Sheet'!B18</f>
        <v>915.97</v>
      </c>
      <c r="F16" s="16">
        <f>SUM('Data Sheet'!C18,'Data Sheet'!C20:C22)-1*'Data Sheet'!C18</f>
        <v>964.4100000000002</v>
      </c>
      <c r="G16" s="16">
        <f>SUM('Data Sheet'!D18,'Data Sheet'!D20:D22)-1*'Data Sheet'!D18</f>
        <v>1085.5999999999999</v>
      </c>
      <c r="H16" s="16">
        <f>SUM('Data Sheet'!E18,'Data Sheet'!E20:E22)-1*'Data Sheet'!E18</f>
        <v>1216.71</v>
      </c>
      <c r="I16" s="16">
        <f>SUM('Data Sheet'!F18,'Data Sheet'!F20:F22)-1*'Data Sheet'!F18</f>
        <v>896.06000000000006</v>
      </c>
      <c r="J16" s="16">
        <f>SUM('Data Sheet'!G18,'Data Sheet'!G20:G22)-1*'Data Sheet'!G18</f>
        <v>1275.4499999999998</v>
      </c>
      <c r="K16" s="16">
        <f>SUM('Data Sheet'!H18,'Data Sheet'!H20:H22)-1*'Data Sheet'!H18</f>
        <v>1540.7100000000003</v>
      </c>
      <c r="L16" s="16">
        <f>SUM('Data Sheet'!I18,'Data Sheet'!I20:I22)-1*'Data Sheet'!I18</f>
        <v>1784.25</v>
      </c>
      <c r="M16" s="16">
        <f>SUM('Data Sheet'!J18,'Data Sheet'!J20:J22)-1*'Data Sheet'!J18</f>
        <v>2315.12</v>
      </c>
      <c r="N16" s="16">
        <f>SUM('Data Sheet'!K18,'Data Sheet'!K20:K22)-1*'Data Sheet'!K18</f>
        <v>2234.33</v>
      </c>
    </row>
    <row r="17" spans="2:14" s="21" customFormat="1" x14ac:dyDescent="0.3">
      <c r="B17" s="21" t="s">
        <v>60</v>
      </c>
      <c r="E17" s="21">
        <f>E16/E13</f>
        <v>0.35456125478537892</v>
      </c>
      <c r="F17" s="21">
        <f t="shared" ref="F17:N17" si="1">F16/F13</f>
        <v>0.31951033660217337</v>
      </c>
      <c r="G17" s="21">
        <f t="shared" si="1"/>
        <v>0.30467508994875303</v>
      </c>
      <c r="H17" s="21">
        <f t="shared" si="1"/>
        <v>0.30981063181293877</v>
      </c>
      <c r="I17" s="21">
        <f t="shared" si="1"/>
        <v>0.27056013672034229</v>
      </c>
      <c r="J17" s="21">
        <f t="shared" si="1"/>
        <v>0.29013084265215688</v>
      </c>
      <c r="K17" s="21">
        <f t="shared" si="1"/>
        <v>0.29868850869965596</v>
      </c>
      <c r="L17" s="21">
        <f t="shared" si="1"/>
        <v>0.31551221996466899</v>
      </c>
      <c r="M17" s="21">
        <f t="shared" si="1"/>
        <v>0.28565893720641272</v>
      </c>
      <c r="N17" s="21">
        <f t="shared" si="1"/>
        <v>0.23488332732370321</v>
      </c>
    </row>
    <row r="19" spans="2:14" s="16" customFormat="1" x14ac:dyDescent="0.3">
      <c r="B19" s="16" t="s">
        <v>61</v>
      </c>
      <c r="E19" s="16">
        <f>E13-E16</f>
        <v>1667.4199999999998</v>
      </c>
      <c r="F19" s="16">
        <f t="shared" ref="F19:N19" si="2">F13-F16</f>
        <v>2053.9899999999998</v>
      </c>
      <c r="G19" s="16">
        <f t="shared" si="2"/>
        <v>2477.54</v>
      </c>
      <c r="H19" s="16">
        <f t="shared" si="2"/>
        <v>2710.56</v>
      </c>
      <c r="I19" s="16">
        <f t="shared" si="2"/>
        <v>2415.81</v>
      </c>
      <c r="J19" s="16">
        <f t="shared" si="2"/>
        <v>3120.67</v>
      </c>
      <c r="K19" s="16">
        <f t="shared" si="2"/>
        <v>3617.54</v>
      </c>
      <c r="L19" s="16">
        <f t="shared" si="2"/>
        <v>3870.84</v>
      </c>
      <c r="M19" s="16">
        <f t="shared" si="2"/>
        <v>5789.37</v>
      </c>
      <c r="N19" s="16">
        <f t="shared" si="2"/>
        <v>7278.18</v>
      </c>
    </row>
    <row r="20" spans="2:14" s="21" customFormat="1" x14ac:dyDescent="0.3">
      <c r="B20" s="21" t="s">
        <v>62</v>
      </c>
      <c r="E20" s="21">
        <f>E19/E13</f>
        <v>0.64543874521462108</v>
      </c>
      <c r="F20" s="21">
        <f t="shared" ref="F20:N20" si="3">F19/F13</f>
        <v>0.68048966339782657</v>
      </c>
      <c r="G20" s="21">
        <f t="shared" si="3"/>
        <v>0.69532491005124697</v>
      </c>
      <c r="H20" s="21">
        <f t="shared" si="3"/>
        <v>0.69018936818706123</v>
      </c>
      <c r="I20" s="21">
        <f t="shared" si="3"/>
        <v>0.72943986327965771</v>
      </c>
      <c r="J20" s="21">
        <f t="shared" si="3"/>
        <v>0.70986915734784317</v>
      </c>
      <c r="K20" s="21">
        <f t="shared" si="3"/>
        <v>0.70131149130034409</v>
      </c>
      <c r="L20" s="21">
        <f t="shared" si="3"/>
        <v>0.68448778003533106</v>
      </c>
      <c r="M20" s="21">
        <f t="shared" si="3"/>
        <v>0.71434106279358722</v>
      </c>
      <c r="N20" s="21">
        <f t="shared" si="3"/>
        <v>0.76511667267629679</v>
      </c>
    </row>
    <row r="22" spans="2:14" s="16" customFormat="1" x14ac:dyDescent="0.3">
      <c r="B22" s="16" t="s">
        <v>63</v>
      </c>
      <c r="E22" s="16">
        <f>SUM('Data Sheet'!B23:B24)</f>
        <v>792.07999999999993</v>
      </c>
      <c r="F22" s="16">
        <f>SUM('Data Sheet'!C23:C24)</f>
        <v>846.03</v>
      </c>
      <c r="G22" s="16">
        <f>SUM('Data Sheet'!D23:D24)</f>
        <v>988.81000000000006</v>
      </c>
      <c r="H22" s="16">
        <f>SUM('Data Sheet'!E23:E24)</f>
        <v>844.37</v>
      </c>
      <c r="I22" s="16">
        <f>SUM('Data Sheet'!F23:F24)</f>
        <v>647.63</v>
      </c>
      <c r="J22" s="16">
        <f>SUM('Data Sheet'!G23:G24)</f>
        <v>1024.4100000000001</v>
      </c>
      <c r="K22" s="16">
        <f>SUM('Data Sheet'!H23:H24)</f>
        <v>1233.7800000000002</v>
      </c>
      <c r="L22" s="16">
        <f>SUM('Data Sheet'!I23:I24)</f>
        <v>1370.3999999999999</v>
      </c>
      <c r="M22" s="16">
        <f>SUM('Data Sheet'!J23:J24)</f>
        <v>1937.65</v>
      </c>
      <c r="N22" s="16">
        <f>SUM('Data Sheet'!K23:K24)</f>
        <v>2260.12</v>
      </c>
    </row>
    <row r="23" spans="2:14" s="21" customFormat="1" x14ac:dyDescent="0.3">
      <c r="B23" s="21" t="s">
        <v>64</v>
      </c>
      <c r="E23" s="21">
        <f>E22/E13</f>
        <v>0.30660488737666397</v>
      </c>
      <c r="F23" s="21">
        <f t="shared" ref="F23:N23" si="4">F22/F13</f>
        <v>0.28029088258680096</v>
      </c>
      <c r="G23" s="21">
        <f t="shared" si="4"/>
        <v>0.27751084717412172</v>
      </c>
      <c r="H23" s="21">
        <f t="shared" si="4"/>
        <v>0.21500176967715487</v>
      </c>
      <c r="I23" s="21">
        <f t="shared" si="4"/>
        <v>0.19554813443764399</v>
      </c>
      <c r="J23" s="21">
        <f t="shared" si="4"/>
        <v>0.23302594105711402</v>
      </c>
      <c r="K23" s="21">
        <f t="shared" si="4"/>
        <v>0.23918577036785735</v>
      </c>
      <c r="L23" s="21">
        <f t="shared" si="4"/>
        <v>0.24233036079001391</v>
      </c>
      <c r="M23" s="21">
        <f t="shared" si="4"/>
        <v>0.23908352036957292</v>
      </c>
      <c r="N23" s="21">
        <f t="shared" si="4"/>
        <v>0.23759449398739133</v>
      </c>
    </row>
    <row r="25" spans="2:14" s="16" customFormat="1" x14ac:dyDescent="0.3">
      <c r="B25" s="16" t="s">
        <v>65</v>
      </c>
      <c r="E25" s="16">
        <f>E19-E22</f>
        <v>875.33999999999992</v>
      </c>
      <c r="F25" s="16">
        <f t="shared" ref="F25:N25" si="5">F19-F22</f>
        <v>1207.9599999999998</v>
      </c>
      <c r="G25" s="16">
        <f t="shared" si="5"/>
        <v>1488.73</v>
      </c>
      <c r="H25" s="16">
        <f t="shared" si="5"/>
        <v>1866.19</v>
      </c>
      <c r="I25" s="16">
        <f t="shared" si="5"/>
        <v>1768.1799999999998</v>
      </c>
      <c r="J25" s="16">
        <f t="shared" si="5"/>
        <v>2096.2600000000002</v>
      </c>
      <c r="K25" s="16">
        <f t="shared" si="5"/>
        <v>2383.7599999999998</v>
      </c>
      <c r="L25" s="16">
        <f t="shared" si="5"/>
        <v>2500.4400000000005</v>
      </c>
      <c r="M25" s="16">
        <f t="shared" si="5"/>
        <v>3851.72</v>
      </c>
      <c r="N25" s="16">
        <f t="shared" si="5"/>
        <v>5018.0600000000004</v>
      </c>
    </row>
    <row r="26" spans="2:14" s="21" customFormat="1" x14ac:dyDescent="0.3">
      <c r="B26" s="21" t="s">
        <v>66</v>
      </c>
      <c r="E26" s="21">
        <f>E25/E13</f>
        <v>0.33883385783795711</v>
      </c>
      <c r="F26" s="21">
        <f t="shared" ref="F26:N26" si="6">F25/F13</f>
        <v>0.40019878081102561</v>
      </c>
      <c r="G26" s="21">
        <f t="shared" si="6"/>
        <v>0.41781406287712525</v>
      </c>
      <c r="H26" s="21">
        <f t="shared" si="6"/>
        <v>0.47518759850990638</v>
      </c>
      <c r="I26" s="21">
        <f t="shared" si="6"/>
        <v>0.53389172884201375</v>
      </c>
      <c r="J26" s="21">
        <f t="shared" si="6"/>
        <v>0.47684321629072918</v>
      </c>
      <c r="K26" s="21">
        <f t="shared" si="6"/>
        <v>0.46212572093248677</v>
      </c>
      <c r="L26" s="21">
        <f t="shared" si="6"/>
        <v>0.44215741924531715</v>
      </c>
      <c r="M26" s="21">
        <f t="shared" si="6"/>
        <v>0.47525754242401436</v>
      </c>
      <c r="N26" s="21">
        <f t="shared" si="6"/>
        <v>0.5275221786889055</v>
      </c>
    </row>
    <row r="28" spans="2:14" s="16" customFormat="1" x14ac:dyDescent="0.3">
      <c r="B28" s="16" t="s">
        <v>6</v>
      </c>
      <c r="E28" s="16">
        <f>'Data Sheet'!B27</f>
        <v>0</v>
      </c>
      <c r="F28" s="16">
        <f>'Data Sheet'!C27</f>
        <v>0</v>
      </c>
      <c r="G28" s="16">
        <f>'Data Sheet'!D27</f>
        <v>0</v>
      </c>
      <c r="H28" s="16">
        <f>'Data Sheet'!E27</f>
        <v>165.24</v>
      </c>
      <c r="I28" s="16">
        <f>'Data Sheet'!F27</f>
        <v>162.69999999999999</v>
      </c>
      <c r="J28" s="16">
        <f>'Data Sheet'!G27</f>
        <v>176.09</v>
      </c>
      <c r="K28" s="16">
        <f>'Data Sheet'!H27</f>
        <v>201.23</v>
      </c>
      <c r="L28" s="16">
        <f>'Data Sheet'!I27</f>
        <v>287.77</v>
      </c>
      <c r="M28" s="16">
        <f>'Data Sheet'!J27</f>
        <v>520.23</v>
      </c>
      <c r="N28" s="16">
        <f>'Data Sheet'!K27</f>
        <v>435.98</v>
      </c>
    </row>
    <row r="29" spans="2:14" s="21" customFormat="1" x14ac:dyDescent="0.3">
      <c r="B29" s="21" t="s">
        <v>67</v>
      </c>
      <c r="E29" s="21">
        <f>E28/E13</f>
        <v>0</v>
      </c>
      <c r="F29" s="21">
        <f t="shared" ref="F29:N29" si="7">F28/F13</f>
        <v>0</v>
      </c>
      <c r="G29" s="21">
        <f t="shared" si="7"/>
        <v>0</v>
      </c>
      <c r="H29" s="21">
        <f t="shared" si="7"/>
        <v>4.2075029218770293E-2</v>
      </c>
      <c r="I29" s="21">
        <f t="shared" si="7"/>
        <v>4.9126324402829817E-2</v>
      </c>
      <c r="J29" s="21">
        <f t="shared" si="7"/>
        <v>4.0055776457421546E-2</v>
      </c>
      <c r="K29" s="21">
        <f t="shared" si="7"/>
        <v>3.9011292589541023E-2</v>
      </c>
      <c r="L29" s="21">
        <f t="shared" si="7"/>
        <v>5.0886900120068822E-2</v>
      </c>
      <c r="M29" s="21">
        <f t="shared" si="7"/>
        <v>6.4190343871113428E-2</v>
      </c>
      <c r="N29" s="21">
        <f t="shared" si="7"/>
        <v>4.5832277705884147E-2</v>
      </c>
    </row>
    <row r="31" spans="2:14" s="16" customFormat="1" x14ac:dyDescent="0.3">
      <c r="B31" s="16" t="s">
        <v>5</v>
      </c>
      <c r="E31" s="16">
        <f>'Data Sheet'!B26</f>
        <v>155.43</v>
      </c>
      <c r="F31" s="16">
        <f>'Data Sheet'!C26</f>
        <v>160.11000000000001</v>
      </c>
      <c r="G31" s="16">
        <f>'Data Sheet'!D26</f>
        <v>157.44999999999999</v>
      </c>
      <c r="H31" s="16">
        <f>'Data Sheet'!E26</f>
        <v>352.28</v>
      </c>
      <c r="I31" s="16">
        <f>'Data Sheet'!F26</f>
        <v>375.4</v>
      </c>
      <c r="J31" s="16">
        <f>'Data Sheet'!G26</f>
        <v>393.05</v>
      </c>
      <c r="K31" s="16">
        <f>'Data Sheet'!H26</f>
        <v>485.89</v>
      </c>
      <c r="L31" s="16">
        <f>'Data Sheet'!I26</f>
        <v>597.96</v>
      </c>
      <c r="M31" s="16">
        <f>'Data Sheet'!J26</f>
        <v>795.41</v>
      </c>
      <c r="N31" s="16">
        <f>'Data Sheet'!K26</f>
        <v>958.74</v>
      </c>
    </row>
    <row r="32" spans="2:14" s="21" customFormat="1" x14ac:dyDescent="0.3">
      <c r="B32" s="21" t="s">
        <v>68</v>
      </c>
      <c r="E32" s="21">
        <f>E31/E13</f>
        <v>6.0165131861623686E-2</v>
      </c>
      <c r="F32" s="21">
        <f t="shared" ref="F32:N32" si="8">F31/F13</f>
        <v>5.3044659422210448E-2</v>
      </c>
      <c r="G32" s="21">
        <f t="shared" si="8"/>
        <v>4.418855279332274E-2</v>
      </c>
      <c r="H32" s="21">
        <f t="shared" si="8"/>
        <v>8.9700988218278849E-2</v>
      </c>
      <c r="I32" s="21">
        <f t="shared" si="8"/>
        <v>0.11334985974691035</v>
      </c>
      <c r="J32" s="21">
        <f t="shared" si="8"/>
        <v>8.9408387396158431E-2</v>
      </c>
      <c r="K32" s="21">
        <f t="shared" si="8"/>
        <v>9.4196675229002075E-2</v>
      </c>
      <c r="L32" s="21">
        <f t="shared" si="8"/>
        <v>0.10573837021161467</v>
      </c>
      <c r="M32" s="21">
        <f t="shared" si="8"/>
        <v>9.8144361952448578E-2</v>
      </c>
      <c r="N32" s="21">
        <f t="shared" si="8"/>
        <v>0.10078727906724934</v>
      </c>
    </row>
    <row r="34" spans="2:14" s="16" customFormat="1" x14ac:dyDescent="0.3">
      <c r="B34" s="16" t="s">
        <v>69</v>
      </c>
      <c r="E34" s="16">
        <f>E25-SUM(E28,E31)</f>
        <v>719.90999999999985</v>
      </c>
      <c r="F34" s="16">
        <f t="shared" ref="F34:N34" si="9">F25-SUM(F28,F31)</f>
        <v>1047.8499999999999</v>
      </c>
      <c r="G34" s="16">
        <f t="shared" si="9"/>
        <v>1331.28</v>
      </c>
      <c r="H34" s="16">
        <f t="shared" si="9"/>
        <v>1348.67</v>
      </c>
      <c r="I34" s="16">
        <f t="shared" si="9"/>
        <v>1230.08</v>
      </c>
      <c r="J34" s="16">
        <f t="shared" si="9"/>
        <v>1527.1200000000003</v>
      </c>
      <c r="K34" s="16">
        <f t="shared" si="9"/>
        <v>1696.6399999999999</v>
      </c>
      <c r="L34" s="16">
        <f t="shared" si="9"/>
        <v>1614.7100000000005</v>
      </c>
      <c r="M34" s="16">
        <f t="shared" si="9"/>
        <v>2536.08</v>
      </c>
      <c r="N34" s="16">
        <f t="shared" si="9"/>
        <v>3623.34</v>
      </c>
    </row>
    <row r="35" spans="2:14" s="21" customFormat="1" x14ac:dyDescent="0.3">
      <c r="B35" s="21" t="s">
        <v>70</v>
      </c>
      <c r="E35" s="21">
        <f>E34/E13</f>
        <v>0.27866872597633335</v>
      </c>
      <c r="F35" s="21">
        <f t="shared" ref="F35:N35" si="10">F34/F13</f>
        <v>0.34715412138881524</v>
      </c>
      <c r="G35" s="21">
        <f t="shared" si="10"/>
        <v>0.37362551008380251</v>
      </c>
      <c r="H35" s="21">
        <f t="shared" si="10"/>
        <v>0.34341158107285724</v>
      </c>
      <c r="I35" s="21">
        <f t="shared" si="10"/>
        <v>0.37141554469227356</v>
      </c>
      <c r="J35" s="21">
        <f t="shared" si="10"/>
        <v>0.34737905243714923</v>
      </c>
      <c r="K35" s="21">
        <f t="shared" si="10"/>
        <v>0.32891775311394367</v>
      </c>
      <c r="L35" s="21">
        <f t="shared" si="10"/>
        <v>0.28553214891363365</v>
      </c>
      <c r="M35" s="21">
        <f t="shared" si="10"/>
        <v>0.31292283660045234</v>
      </c>
      <c r="N35" s="21">
        <f t="shared" si="10"/>
        <v>0.38090262191577196</v>
      </c>
    </row>
    <row r="37" spans="2:14" s="16" customFormat="1" x14ac:dyDescent="0.3">
      <c r="B37" s="16" t="s">
        <v>8</v>
      </c>
      <c r="E37" s="16">
        <f>'Data Sheet'!B29</f>
        <v>30.5</v>
      </c>
      <c r="F37" s="16">
        <f>'Data Sheet'!C29</f>
        <v>106.83</v>
      </c>
      <c r="G37" s="16">
        <f>'Data Sheet'!D29</f>
        <v>171.7</v>
      </c>
      <c r="H37" s="16">
        <f>'Data Sheet'!E29</f>
        <v>123.99</v>
      </c>
      <c r="I37" s="16">
        <f>'Data Sheet'!F29</f>
        <v>75.650000000000006</v>
      </c>
      <c r="J37" s="16">
        <f>'Data Sheet'!G29</f>
        <v>145.18</v>
      </c>
      <c r="K37" s="16">
        <f>'Data Sheet'!H29</f>
        <v>135.69999999999999</v>
      </c>
      <c r="L37" s="16">
        <f>'Data Sheet'!I29</f>
        <v>84.97</v>
      </c>
      <c r="M37" s="16">
        <f>'Data Sheet'!J29</f>
        <v>83.42</v>
      </c>
      <c r="N37" s="16">
        <f>'Data Sheet'!K29</f>
        <v>154.47999999999999</v>
      </c>
    </row>
    <row r="38" spans="2:14" s="21" customFormat="1" x14ac:dyDescent="0.3">
      <c r="B38" s="21" t="s">
        <v>71</v>
      </c>
      <c r="E38" s="21">
        <f>E37/E13</f>
        <v>1.180619263835503E-2</v>
      </c>
      <c r="F38" s="21">
        <f t="shared" ref="F38:N38" si="11">F37/F13</f>
        <v>3.5392923403127483E-2</v>
      </c>
      <c r="G38" s="21">
        <f t="shared" si="11"/>
        <v>4.8187834325903553E-2</v>
      </c>
      <c r="H38" s="21">
        <f t="shared" si="11"/>
        <v>3.157154970246507E-2</v>
      </c>
      <c r="I38" s="21">
        <f t="shared" si="11"/>
        <v>2.2842080154112331E-2</v>
      </c>
      <c r="J38" s="21">
        <f t="shared" si="11"/>
        <v>3.3024576217209722E-2</v>
      </c>
      <c r="K38" s="21">
        <f t="shared" si="11"/>
        <v>2.6307371686133861E-2</v>
      </c>
      <c r="L38" s="21">
        <f t="shared" si="11"/>
        <v>1.5025401894576389E-2</v>
      </c>
      <c r="M38" s="21">
        <f t="shared" si="11"/>
        <v>1.029305977303939E-2</v>
      </c>
      <c r="N38" s="21">
        <f t="shared" si="11"/>
        <v>1.623966755356893E-2</v>
      </c>
    </row>
    <row r="40" spans="2:14" s="16" customFormat="1" x14ac:dyDescent="0.3">
      <c r="B40" s="16" t="s">
        <v>72</v>
      </c>
      <c r="E40" s="16">
        <f>E34-E37</f>
        <v>689.40999999999985</v>
      </c>
      <c r="F40" s="16">
        <f t="shared" ref="F40:N40" si="12">F34-F37</f>
        <v>941.01999999999987</v>
      </c>
      <c r="G40" s="16">
        <f t="shared" si="12"/>
        <v>1159.58</v>
      </c>
      <c r="H40" s="16">
        <f t="shared" si="12"/>
        <v>1224.68</v>
      </c>
      <c r="I40" s="16">
        <f t="shared" si="12"/>
        <v>1154.4299999999998</v>
      </c>
      <c r="J40" s="16">
        <f t="shared" si="12"/>
        <v>1381.9400000000003</v>
      </c>
      <c r="K40" s="16">
        <f t="shared" si="12"/>
        <v>1560.9399999999998</v>
      </c>
      <c r="L40" s="16">
        <f t="shared" si="12"/>
        <v>1529.7400000000005</v>
      </c>
      <c r="M40" s="16">
        <f t="shared" si="12"/>
        <v>2452.66</v>
      </c>
      <c r="N40" s="16">
        <f t="shared" si="12"/>
        <v>3468.86</v>
      </c>
    </row>
    <row r="41" spans="2:14" s="21" customFormat="1" x14ac:dyDescent="0.3">
      <c r="B41" s="21" t="s">
        <v>73</v>
      </c>
      <c r="E41" s="21">
        <f>E40/E13</f>
        <v>0.26686253333797832</v>
      </c>
      <c r="F41" s="21">
        <f t="shared" ref="F41:N41" si="13">F40/F13</f>
        <v>0.31176119798568774</v>
      </c>
      <c r="G41" s="21">
        <f t="shared" si="13"/>
        <v>0.32543767575789895</v>
      </c>
      <c r="H41" s="21">
        <f t="shared" si="13"/>
        <v>0.31184003137039218</v>
      </c>
      <c r="I41" s="21">
        <f t="shared" si="13"/>
        <v>0.34857346453816118</v>
      </c>
      <c r="J41" s="21">
        <f t="shared" si="13"/>
        <v>0.31435447621993945</v>
      </c>
      <c r="K41" s="21">
        <f t="shared" si="13"/>
        <v>0.30261038142780977</v>
      </c>
      <c r="L41" s="21">
        <f t="shared" si="13"/>
        <v>0.27050674701905725</v>
      </c>
      <c r="M41" s="21">
        <f t="shared" si="13"/>
        <v>0.30262977682741293</v>
      </c>
      <c r="N41" s="21">
        <f t="shared" si="13"/>
        <v>0.36466295436220303</v>
      </c>
    </row>
    <row r="43" spans="2:14" s="16" customFormat="1" x14ac:dyDescent="0.3">
      <c r="B43" s="16" t="s">
        <v>74</v>
      </c>
      <c r="E43" s="16">
        <f>'Data Sheet'!B93</f>
        <v>65.94</v>
      </c>
      <c r="F43" s="16">
        <f>'Data Sheet'!C93</f>
        <v>65.98</v>
      </c>
      <c r="G43" s="16">
        <f>'Data Sheet'!D93</f>
        <v>65.98</v>
      </c>
      <c r="H43" s="16">
        <f>'Data Sheet'!E93</f>
        <v>65.98</v>
      </c>
      <c r="I43" s="16">
        <f>'Data Sheet'!F93</f>
        <v>65.98</v>
      </c>
      <c r="J43" s="16">
        <f>'Data Sheet'!G93</f>
        <v>65.98</v>
      </c>
      <c r="K43" s="16">
        <f>'Data Sheet'!H93</f>
        <v>65.98</v>
      </c>
      <c r="L43" s="16">
        <f>'Data Sheet'!I93</f>
        <v>65.98</v>
      </c>
      <c r="M43" s="16">
        <f>'Data Sheet'!J93</f>
        <v>65.98</v>
      </c>
      <c r="N43" s="16">
        <f>'Data Sheet'!K93</f>
        <v>65.98</v>
      </c>
    </row>
    <row r="45" spans="2:14" s="16" customFormat="1" x14ac:dyDescent="0.3">
      <c r="B45" s="16" t="s">
        <v>36</v>
      </c>
      <c r="E45" s="16">
        <f>'Data Sheet'!B31</f>
        <v>16.489999999999998</v>
      </c>
      <c r="F45" s="16">
        <f>'Data Sheet'!C31</f>
        <v>32.99</v>
      </c>
      <c r="G45" s="16">
        <f>'Data Sheet'!D31</f>
        <v>65.98</v>
      </c>
      <c r="H45" s="16">
        <f>'Data Sheet'!E31</f>
        <v>79.180000000000007</v>
      </c>
      <c r="I45" s="16">
        <f>'Data Sheet'!F31</f>
        <v>79.180000000000007</v>
      </c>
      <c r="J45" s="16">
        <f>'Data Sheet'!G31</f>
        <v>79.180000000000007</v>
      </c>
      <c r="K45" s="16">
        <f>'Data Sheet'!H31</f>
        <v>79.180000000000007</v>
      </c>
      <c r="L45" s="16">
        <f>'Data Sheet'!I31</f>
        <v>79.180000000000007</v>
      </c>
      <c r="M45" s="16">
        <f>'Data Sheet'!J31</f>
        <v>79.180000000000007</v>
      </c>
      <c r="N45" s="16">
        <f>'Data Sheet'!K31</f>
        <v>79.180000000000007</v>
      </c>
    </row>
    <row r="47" spans="2:14" s="16" customFormat="1" x14ac:dyDescent="0.3">
      <c r="B47" s="16" t="s">
        <v>31</v>
      </c>
      <c r="E47" s="16">
        <f>E40/E43</f>
        <v>10.455110706703062</v>
      </c>
      <c r="F47" s="16">
        <f t="shared" ref="F47:N47" si="14">F40/F43</f>
        <v>14.262200666868745</v>
      </c>
      <c r="G47" s="16">
        <f t="shared" si="14"/>
        <v>17.574719612003634</v>
      </c>
      <c r="H47" s="16">
        <f t="shared" si="14"/>
        <v>18.561382237041528</v>
      </c>
      <c r="I47" s="16">
        <f t="shared" si="14"/>
        <v>17.49666565625947</v>
      </c>
      <c r="J47" s="16">
        <f t="shared" si="14"/>
        <v>20.944831767202185</v>
      </c>
      <c r="K47" s="16">
        <f t="shared" si="14"/>
        <v>23.65777508335859</v>
      </c>
      <c r="L47" s="16">
        <f t="shared" si="14"/>
        <v>23.184904516520163</v>
      </c>
      <c r="M47" s="16">
        <f t="shared" si="14"/>
        <v>37.172779630190959</v>
      </c>
      <c r="N47" s="16">
        <f t="shared" si="14"/>
        <v>52.574416489845404</v>
      </c>
    </row>
    <row r="49" spans="1:14" s="16" customFormat="1" x14ac:dyDescent="0.3">
      <c r="B49" s="16" t="s">
        <v>75</v>
      </c>
      <c r="E49" s="16">
        <f>E40-E45</f>
        <v>672.91999999999985</v>
      </c>
      <c r="F49" s="16">
        <f t="shared" ref="F49:N49" si="15">F40-F45</f>
        <v>908.02999999999986</v>
      </c>
      <c r="G49" s="16">
        <f t="shared" si="15"/>
        <v>1093.5999999999999</v>
      </c>
      <c r="H49" s="16">
        <f t="shared" si="15"/>
        <v>1145.5</v>
      </c>
      <c r="I49" s="16">
        <f t="shared" si="15"/>
        <v>1075.2499999999998</v>
      </c>
      <c r="J49" s="16">
        <f t="shared" si="15"/>
        <v>1302.7600000000002</v>
      </c>
      <c r="K49" s="16">
        <f t="shared" si="15"/>
        <v>1481.7599999999998</v>
      </c>
      <c r="L49" s="16">
        <f t="shared" si="15"/>
        <v>1450.5600000000004</v>
      </c>
      <c r="M49" s="16">
        <f t="shared" si="15"/>
        <v>2373.48</v>
      </c>
      <c r="N49" s="16">
        <f t="shared" si="15"/>
        <v>3389.6800000000003</v>
      </c>
    </row>
    <row r="50" spans="1:14" s="21" customFormat="1" x14ac:dyDescent="0.3">
      <c r="B50" s="21" t="s">
        <v>76</v>
      </c>
      <c r="E50" s="21">
        <f>E49/E40</f>
        <v>0.97608099679436033</v>
      </c>
      <c r="F50" s="21">
        <f t="shared" ref="F50:N50" si="16">F49/F40</f>
        <v>0.96494229665681919</v>
      </c>
      <c r="G50" s="21">
        <f t="shared" si="16"/>
        <v>0.94310008796288314</v>
      </c>
      <c r="H50" s="21">
        <f t="shared" si="16"/>
        <v>0.93534637619623084</v>
      </c>
      <c r="I50" s="21">
        <f t="shared" si="16"/>
        <v>0.93141203884167934</v>
      </c>
      <c r="J50" s="21">
        <f t="shared" si="16"/>
        <v>0.94270373532859597</v>
      </c>
      <c r="K50" s="21">
        <f t="shared" si="16"/>
        <v>0.94927415531666814</v>
      </c>
      <c r="L50" s="21">
        <f t="shared" si="16"/>
        <v>0.9482395701230274</v>
      </c>
      <c r="M50" s="21">
        <f t="shared" si="16"/>
        <v>0.96771668311139747</v>
      </c>
      <c r="N50" s="21">
        <f t="shared" si="16"/>
        <v>0.9771740571830515</v>
      </c>
    </row>
    <row r="53" spans="1:14" x14ac:dyDescent="0.3">
      <c r="A53" t="s">
        <v>58</v>
      </c>
      <c r="B53" s="15" t="s">
        <v>78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x14ac:dyDescent="0.3">
      <c r="B54" s="5" t="s">
        <v>11</v>
      </c>
      <c r="E54" s="16">
        <f>'Data Sheet'!B57</f>
        <v>65.95</v>
      </c>
      <c r="F54" s="16">
        <f>'Data Sheet'!C57</f>
        <v>65.98</v>
      </c>
      <c r="G54" s="16">
        <f>'Data Sheet'!D57</f>
        <v>131.97</v>
      </c>
      <c r="H54" s="16">
        <f>'Data Sheet'!E57</f>
        <v>131.97</v>
      </c>
      <c r="I54" s="16">
        <f>'Data Sheet'!F57</f>
        <v>131.97</v>
      </c>
      <c r="J54" s="16">
        <f>'Data Sheet'!G57</f>
        <v>131.97</v>
      </c>
      <c r="K54" s="16">
        <f>'Data Sheet'!H57</f>
        <v>131.97</v>
      </c>
      <c r="L54" s="16">
        <f>'Data Sheet'!I57</f>
        <v>131.97</v>
      </c>
      <c r="M54" s="16">
        <f>'Data Sheet'!J57</f>
        <v>131.97</v>
      </c>
      <c r="N54" s="16">
        <f>'Data Sheet'!K57</f>
        <v>131.97</v>
      </c>
    </row>
    <row r="55" spans="1:14" x14ac:dyDescent="0.3">
      <c r="B55" s="5" t="s">
        <v>12</v>
      </c>
      <c r="E55" s="16">
        <f>'Data Sheet'!B58</f>
        <v>739.35</v>
      </c>
      <c r="F55" s="16">
        <f>'Data Sheet'!C58</f>
        <v>901.75</v>
      </c>
      <c r="G55" s="16">
        <f>'Data Sheet'!D58</f>
        <v>1127.67</v>
      </c>
      <c r="H55" s="16">
        <f>'Data Sheet'!E58</f>
        <v>990.06</v>
      </c>
      <c r="I55" s="16">
        <f>'Data Sheet'!F58</f>
        <v>1294.8599999999999</v>
      </c>
      <c r="J55" s="16">
        <f>'Data Sheet'!G58</f>
        <v>1813</v>
      </c>
      <c r="K55" s="16">
        <f>'Data Sheet'!H58</f>
        <v>1905.82</v>
      </c>
      <c r="L55" s="16">
        <f>'Data Sheet'!I58</f>
        <v>2038.67</v>
      </c>
      <c r="M55" s="16">
        <f>'Data Sheet'!J58</f>
        <v>1970.78</v>
      </c>
      <c r="N55" s="16">
        <f>'Data Sheet'!K58</f>
        <v>2160.13</v>
      </c>
    </row>
    <row r="56" spans="1:14" x14ac:dyDescent="0.3">
      <c r="B56" s="5" t="s">
        <v>37</v>
      </c>
      <c r="E56" s="16">
        <f>'Data Sheet'!B59</f>
        <v>0</v>
      </c>
      <c r="F56" s="16">
        <f>'Data Sheet'!C59</f>
        <v>0</v>
      </c>
      <c r="G56" s="16">
        <f>'Data Sheet'!D59</f>
        <v>0</v>
      </c>
      <c r="H56" s="16">
        <f>'Data Sheet'!E59</f>
        <v>1670.06</v>
      </c>
      <c r="I56" s="16">
        <f>'Data Sheet'!F59</f>
        <v>1619.98</v>
      </c>
      <c r="J56" s="16">
        <f>'Data Sheet'!G59</f>
        <v>2106.1</v>
      </c>
      <c r="K56" s="16">
        <f>'Data Sheet'!H59</f>
        <v>2553.7399999999998</v>
      </c>
      <c r="L56" s="16">
        <f>'Data Sheet'!I59</f>
        <v>4206.8599999999997</v>
      </c>
      <c r="M56" s="16">
        <f>'Data Sheet'!J59</f>
        <v>4371.82</v>
      </c>
      <c r="N56" s="16">
        <f>'Data Sheet'!K59</f>
        <v>4902.22</v>
      </c>
    </row>
    <row r="57" spans="1:14" x14ac:dyDescent="0.3">
      <c r="B57" s="5" t="s">
        <v>38</v>
      </c>
      <c r="E57" s="16">
        <f>'Data Sheet'!B60</f>
        <v>485.34</v>
      </c>
      <c r="F57" s="16">
        <f>'Data Sheet'!C60</f>
        <v>529.01</v>
      </c>
      <c r="G57" s="16">
        <f>'Data Sheet'!D60</f>
        <v>596.1</v>
      </c>
      <c r="H57" s="16">
        <f>'Data Sheet'!E60</f>
        <v>577.79999999999995</v>
      </c>
      <c r="I57" s="16">
        <f>'Data Sheet'!F60</f>
        <v>719.96</v>
      </c>
      <c r="J57" s="16">
        <f>'Data Sheet'!G60</f>
        <v>730.6</v>
      </c>
      <c r="K57" s="16">
        <f>'Data Sheet'!H60</f>
        <v>790.6</v>
      </c>
      <c r="L57" s="16">
        <f>'Data Sheet'!I60</f>
        <v>1660.04</v>
      </c>
      <c r="M57" s="16">
        <f>'Data Sheet'!J60</f>
        <v>1929.42</v>
      </c>
      <c r="N57" s="16">
        <f>'Data Sheet'!K60</f>
        <v>2172.3200000000002</v>
      </c>
    </row>
    <row r="58" spans="1:14" s="2" customFormat="1" x14ac:dyDescent="0.3">
      <c r="B58" s="1" t="s">
        <v>79</v>
      </c>
      <c r="E58" s="22">
        <f>SUM(E54:E57)</f>
        <v>1290.6400000000001</v>
      </c>
      <c r="F58" s="22">
        <f t="shared" ref="F58:N58" si="17">SUM(F54:F57)</f>
        <v>1496.74</v>
      </c>
      <c r="G58" s="22">
        <f t="shared" si="17"/>
        <v>1855.7400000000002</v>
      </c>
      <c r="H58" s="22">
        <f t="shared" si="17"/>
        <v>3369.8900000000003</v>
      </c>
      <c r="I58" s="22">
        <f t="shared" si="17"/>
        <v>3766.77</v>
      </c>
      <c r="J58" s="22">
        <f t="shared" si="17"/>
        <v>4781.67</v>
      </c>
      <c r="K58" s="22">
        <f t="shared" si="17"/>
        <v>5382.13</v>
      </c>
      <c r="L58" s="22">
        <f t="shared" si="17"/>
        <v>8037.54</v>
      </c>
      <c r="M58" s="22">
        <f t="shared" si="17"/>
        <v>8403.99</v>
      </c>
      <c r="N58" s="22">
        <f t="shared" si="17"/>
        <v>9366.64</v>
      </c>
    </row>
    <row r="59" spans="1:14" x14ac:dyDescent="0.3">
      <c r="B59" s="1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3">
      <c r="B60" s="5" t="s">
        <v>14</v>
      </c>
      <c r="E60" s="16">
        <f>'Data Sheet'!B62</f>
        <v>800.15</v>
      </c>
      <c r="F60" s="16">
        <f>'Data Sheet'!C62</f>
        <v>789.22</v>
      </c>
      <c r="G60" s="16">
        <f>'Data Sheet'!D62</f>
        <v>809.46</v>
      </c>
      <c r="H60" s="16">
        <f>'Data Sheet'!E62</f>
        <v>2188.7199999999998</v>
      </c>
      <c r="I60" s="16">
        <f>'Data Sheet'!F62</f>
        <v>2145.5</v>
      </c>
      <c r="J60" s="16">
        <f>'Data Sheet'!G62</f>
        <v>2736.6</v>
      </c>
      <c r="K60" s="16">
        <f>'Data Sheet'!H62</f>
        <v>3488.23</v>
      </c>
      <c r="L60" s="16">
        <f>'Data Sheet'!I62</f>
        <v>6183.85</v>
      </c>
      <c r="M60" s="16">
        <f>'Data Sheet'!J62</f>
        <v>6434.5</v>
      </c>
      <c r="N60" s="16">
        <f>'Data Sheet'!K62</f>
        <v>7353.09</v>
      </c>
    </row>
    <row r="61" spans="1:14" x14ac:dyDescent="0.3">
      <c r="B61" s="5" t="s">
        <v>15</v>
      </c>
      <c r="E61" s="16">
        <f>'Data Sheet'!B63</f>
        <v>60.77</v>
      </c>
      <c r="F61" s="16">
        <f>'Data Sheet'!C63</f>
        <v>14.22</v>
      </c>
      <c r="G61" s="16">
        <f>'Data Sheet'!D63</f>
        <v>15.72</v>
      </c>
      <c r="H61" s="16">
        <f>'Data Sheet'!E63</f>
        <v>41.17</v>
      </c>
      <c r="I61" s="16">
        <f>'Data Sheet'!F63</f>
        <v>28.55</v>
      </c>
      <c r="J61" s="16">
        <f>'Data Sheet'!G63</f>
        <v>46.55</v>
      </c>
      <c r="K61" s="16">
        <f>'Data Sheet'!H63</f>
        <v>183.79</v>
      </c>
      <c r="L61" s="16">
        <f>'Data Sheet'!I63</f>
        <v>117.76</v>
      </c>
      <c r="M61" s="16">
        <f>'Data Sheet'!J63</f>
        <v>255.17</v>
      </c>
      <c r="N61" s="16">
        <f>'Data Sheet'!K63</f>
        <v>160.19999999999999</v>
      </c>
    </row>
    <row r="62" spans="1:14" x14ac:dyDescent="0.3">
      <c r="B62" s="5" t="s">
        <v>16</v>
      </c>
      <c r="E62" s="16">
        <f>'Data Sheet'!B64</f>
        <v>93.57</v>
      </c>
      <c r="F62" s="16">
        <f>'Data Sheet'!C64</f>
        <v>263.10000000000002</v>
      </c>
      <c r="G62" s="16">
        <f>'Data Sheet'!D64</f>
        <v>180.8</v>
      </c>
      <c r="H62" s="16">
        <f>'Data Sheet'!E64</f>
        <v>51.18</v>
      </c>
      <c r="I62" s="16">
        <f>'Data Sheet'!F64</f>
        <v>516.74</v>
      </c>
      <c r="J62" s="16">
        <f>'Data Sheet'!G64</f>
        <v>926.78</v>
      </c>
      <c r="K62" s="16">
        <f>'Data Sheet'!H64</f>
        <v>821.81</v>
      </c>
      <c r="L62" s="16">
        <f>'Data Sheet'!I64</f>
        <v>308.02999999999997</v>
      </c>
      <c r="M62" s="16">
        <f>'Data Sheet'!J64</f>
        <v>176.02</v>
      </c>
      <c r="N62" s="16">
        <f>'Data Sheet'!K64</f>
        <v>199.03</v>
      </c>
    </row>
    <row r="63" spans="1:14" x14ac:dyDescent="0.3">
      <c r="B63" s="5" t="s">
        <v>39</v>
      </c>
      <c r="E63" s="16">
        <f>'Data Sheet'!B65-SUM('Data Sheet'!B67:B69)</f>
        <v>223.94</v>
      </c>
      <c r="F63" s="16">
        <f>'Data Sheet'!C65-SUM('Data Sheet'!C67:C69)</f>
        <v>221.31</v>
      </c>
      <c r="G63" s="16">
        <f>'Data Sheet'!D65-SUM('Data Sheet'!D67:D69)</f>
        <v>250.97000000000003</v>
      </c>
      <c r="H63" s="16">
        <f>'Data Sheet'!E65-SUM('Data Sheet'!E67:E69)</f>
        <v>321.57999999999993</v>
      </c>
      <c r="I63" s="16">
        <f>'Data Sheet'!F65-SUM('Data Sheet'!F67:F69)</f>
        <v>386.87000000000012</v>
      </c>
      <c r="J63" s="16">
        <f>'Data Sheet'!G65-SUM('Data Sheet'!G67:G69)</f>
        <v>325.14999999999998</v>
      </c>
      <c r="K63" s="16">
        <f>'Data Sheet'!H65-SUM('Data Sheet'!H67:H69)</f>
        <v>425.65999999999997</v>
      </c>
      <c r="L63" s="16">
        <f>'Data Sheet'!I65-SUM('Data Sheet'!I67:I69)</f>
        <v>595.99</v>
      </c>
      <c r="M63" s="16">
        <f>'Data Sheet'!J65-SUM('Data Sheet'!J67:J69)</f>
        <v>648.36999999999989</v>
      </c>
      <c r="N63" s="16">
        <f>'Data Sheet'!K65-SUM('Data Sheet'!K67:K69)</f>
        <v>736.14</v>
      </c>
    </row>
    <row r="64" spans="1:14" s="2" customFormat="1" x14ac:dyDescent="0.3">
      <c r="B64" s="1" t="s">
        <v>80</v>
      </c>
      <c r="E64" s="22">
        <f>SUM(E60:E63)</f>
        <v>1178.43</v>
      </c>
      <c r="F64" s="22">
        <f t="shared" ref="F64:N64" si="18">SUM(F60:F63)</f>
        <v>1287.8499999999999</v>
      </c>
      <c r="G64" s="22">
        <f t="shared" si="18"/>
        <v>1256.95</v>
      </c>
      <c r="H64" s="22">
        <f t="shared" si="18"/>
        <v>2602.6499999999996</v>
      </c>
      <c r="I64" s="22">
        <f t="shared" si="18"/>
        <v>3077.66</v>
      </c>
      <c r="J64" s="22">
        <f t="shared" si="18"/>
        <v>4035.0800000000004</v>
      </c>
      <c r="K64" s="22">
        <f t="shared" si="18"/>
        <v>4919.49</v>
      </c>
      <c r="L64" s="22">
        <f t="shared" si="18"/>
        <v>7205.63</v>
      </c>
      <c r="M64" s="22">
        <f t="shared" si="18"/>
        <v>7514.06</v>
      </c>
      <c r="N64" s="22">
        <f t="shared" si="18"/>
        <v>8448.4599999999991</v>
      </c>
    </row>
    <row r="65" spans="1:14" x14ac:dyDescent="0.3">
      <c r="B65" s="1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x14ac:dyDescent="0.3">
      <c r="B66" s="5" t="s">
        <v>44</v>
      </c>
      <c r="E66" s="16">
        <f>'Data Sheet'!B67</f>
        <v>16.100000000000001</v>
      </c>
      <c r="F66" s="16">
        <f>'Data Sheet'!C67</f>
        <v>15.65</v>
      </c>
      <c r="G66" s="16">
        <f>'Data Sheet'!D67</f>
        <v>27.44</v>
      </c>
      <c r="H66" s="16">
        <f>'Data Sheet'!E67</f>
        <v>16.64</v>
      </c>
      <c r="I66" s="16">
        <f>'Data Sheet'!F67</f>
        <v>16.8</v>
      </c>
      <c r="J66" s="16">
        <f>'Data Sheet'!G67</f>
        <v>22.05</v>
      </c>
      <c r="K66" s="16">
        <f>'Data Sheet'!H67</f>
        <v>28.73</v>
      </c>
      <c r="L66" s="16">
        <f>'Data Sheet'!I67</f>
        <v>265.07</v>
      </c>
      <c r="M66" s="16">
        <f>'Data Sheet'!J67</f>
        <v>330.07</v>
      </c>
      <c r="N66" s="16">
        <f>'Data Sheet'!K67</f>
        <v>374.78</v>
      </c>
    </row>
    <row r="67" spans="1:14" x14ac:dyDescent="0.3">
      <c r="B67" s="5" t="s">
        <v>30</v>
      </c>
      <c r="E67" s="16">
        <f>'Data Sheet'!B68</f>
        <v>60.72</v>
      </c>
      <c r="F67" s="16">
        <f>'Data Sheet'!C68</f>
        <v>64.209999999999994</v>
      </c>
      <c r="G67" s="16">
        <f>'Data Sheet'!D68</f>
        <v>77.08</v>
      </c>
      <c r="H67" s="16">
        <f>'Data Sheet'!E68</f>
        <v>94.72</v>
      </c>
      <c r="I67" s="16">
        <f>'Data Sheet'!F68</f>
        <v>133.13</v>
      </c>
      <c r="J67" s="16">
        <f>'Data Sheet'!G68</f>
        <v>161.18</v>
      </c>
      <c r="K67" s="16">
        <f>'Data Sheet'!H68</f>
        <v>177</v>
      </c>
      <c r="L67" s="16">
        <f>'Data Sheet'!I68</f>
        <v>409.89</v>
      </c>
      <c r="M67" s="16">
        <f>'Data Sheet'!J68</f>
        <v>405.63</v>
      </c>
      <c r="N67" s="16">
        <f>'Data Sheet'!K68</f>
        <v>308.52</v>
      </c>
    </row>
    <row r="68" spans="1:14" x14ac:dyDescent="0.3">
      <c r="B68" s="3" t="s">
        <v>53</v>
      </c>
      <c r="E68" s="16">
        <f>'Data Sheet'!B69</f>
        <v>35.39</v>
      </c>
      <c r="F68" s="16">
        <f>'Data Sheet'!C69</f>
        <v>129.03</v>
      </c>
      <c r="G68" s="16">
        <f>'Data Sheet'!D69</f>
        <v>494.27</v>
      </c>
      <c r="H68" s="16">
        <f>'Data Sheet'!E69</f>
        <v>655.88</v>
      </c>
      <c r="I68" s="16">
        <f>'Data Sheet'!F69</f>
        <v>539.17999999999995</v>
      </c>
      <c r="J68" s="16">
        <f>'Data Sheet'!G69</f>
        <v>563.36</v>
      </c>
      <c r="K68" s="16">
        <f>'Data Sheet'!H69</f>
        <v>256.91000000000003</v>
      </c>
      <c r="L68" s="16">
        <f>'Data Sheet'!I69</f>
        <v>156.94999999999999</v>
      </c>
      <c r="M68" s="16">
        <f>'Data Sheet'!J69</f>
        <v>154.22999999999999</v>
      </c>
      <c r="N68" s="16">
        <f>'Data Sheet'!K69</f>
        <v>234.88</v>
      </c>
    </row>
    <row r="69" spans="1:14" s="2" customFormat="1" x14ac:dyDescent="0.3">
      <c r="B69" s="23" t="s">
        <v>81</v>
      </c>
      <c r="E69" s="22">
        <f>SUM(E66:E68)</f>
        <v>112.21</v>
      </c>
      <c r="F69" s="22">
        <f t="shared" ref="F69:N69" si="19">SUM(F66:F68)</f>
        <v>208.89</v>
      </c>
      <c r="G69" s="22">
        <f t="shared" si="19"/>
        <v>598.79</v>
      </c>
      <c r="H69" s="22">
        <f t="shared" si="19"/>
        <v>767.24</v>
      </c>
      <c r="I69" s="22">
        <f t="shared" si="19"/>
        <v>689.1099999999999</v>
      </c>
      <c r="J69" s="22">
        <f t="shared" si="19"/>
        <v>746.59</v>
      </c>
      <c r="K69" s="22">
        <f t="shared" si="19"/>
        <v>462.64</v>
      </c>
      <c r="L69" s="22">
        <f t="shared" si="19"/>
        <v>831.91000000000008</v>
      </c>
      <c r="M69" s="22">
        <f t="shared" si="19"/>
        <v>889.93000000000006</v>
      </c>
      <c r="N69" s="22">
        <f t="shared" si="19"/>
        <v>918.18</v>
      </c>
    </row>
    <row r="70" spans="1:14" x14ac:dyDescent="0.3"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s="2" customFormat="1" x14ac:dyDescent="0.3">
      <c r="B71" s="23" t="s">
        <v>82</v>
      </c>
      <c r="E71" s="22">
        <f>E64+E69</f>
        <v>1290.6400000000001</v>
      </c>
      <c r="F71" s="22">
        <f t="shared" ref="F71:N71" si="20">F64+F69</f>
        <v>1496.7399999999998</v>
      </c>
      <c r="G71" s="22">
        <f t="shared" si="20"/>
        <v>1855.74</v>
      </c>
      <c r="H71" s="22">
        <f t="shared" si="20"/>
        <v>3369.8899999999994</v>
      </c>
      <c r="I71" s="22">
        <f t="shared" si="20"/>
        <v>3766.7699999999995</v>
      </c>
      <c r="J71" s="22">
        <f t="shared" si="20"/>
        <v>4781.67</v>
      </c>
      <c r="K71" s="22">
        <f t="shared" si="20"/>
        <v>5382.13</v>
      </c>
      <c r="L71" s="22">
        <f t="shared" si="20"/>
        <v>8037.54</v>
      </c>
      <c r="M71" s="22">
        <f t="shared" si="20"/>
        <v>8403.99</v>
      </c>
      <c r="N71" s="22">
        <f t="shared" si="20"/>
        <v>9366.64</v>
      </c>
    </row>
    <row r="72" spans="1:14" s="2" customFormat="1" x14ac:dyDescent="0.3">
      <c r="B72" s="2" t="s">
        <v>83</v>
      </c>
      <c r="E72" s="22" t="b">
        <f>E71=E58</f>
        <v>1</v>
      </c>
      <c r="F72" s="22" t="b">
        <f t="shared" ref="F72:N72" si="21">F71=F58</f>
        <v>1</v>
      </c>
      <c r="G72" s="22" t="b">
        <f t="shared" si="21"/>
        <v>1</v>
      </c>
      <c r="H72" s="22" t="b">
        <f t="shared" si="21"/>
        <v>1</v>
      </c>
      <c r="I72" s="22" t="b">
        <f t="shared" si="21"/>
        <v>1</v>
      </c>
      <c r="J72" s="22" t="b">
        <f t="shared" si="21"/>
        <v>1</v>
      </c>
      <c r="K72" s="22" t="b">
        <f t="shared" si="21"/>
        <v>1</v>
      </c>
      <c r="L72" s="22" t="b">
        <f t="shared" si="21"/>
        <v>1</v>
      </c>
      <c r="M72" s="22" t="b">
        <f t="shared" si="21"/>
        <v>1</v>
      </c>
      <c r="N72" s="22" t="b">
        <f t="shared" si="21"/>
        <v>1</v>
      </c>
    </row>
    <row r="75" spans="1:14" ht="15" thickBot="1" x14ac:dyDescent="0.35">
      <c r="A75" t="s">
        <v>58</v>
      </c>
      <c r="B75" s="15" t="s">
        <v>84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x14ac:dyDescent="0.3">
      <c r="B76" s="36" t="s">
        <v>85</v>
      </c>
      <c r="C76" s="162">
        <v>262</v>
      </c>
      <c r="D76" s="162">
        <v>281</v>
      </c>
      <c r="E76" s="162">
        <v>234</v>
      </c>
      <c r="F76" s="162">
        <v>444</v>
      </c>
      <c r="G76" s="162">
        <v>605</v>
      </c>
      <c r="H76" s="162">
        <v>876</v>
      </c>
      <c r="I76" s="162">
        <v>787</v>
      </c>
      <c r="J76" s="162">
        <v>1112</v>
      </c>
      <c r="K76" s="162">
        <v>1161</v>
      </c>
      <c r="L76" s="162">
        <v>1195</v>
      </c>
      <c r="M76" s="162">
        <v>1610</v>
      </c>
      <c r="N76" s="162">
        <v>1921</v>
      </c>
    </row>
    <row r="77" spans="1:14" x14ac:dyDescent="0.3">
      <c r="B77" s="37" t="s">
        <v>44</v>
      </c>
      <c r="C77" s="162">
        <v>-3</v>
      </c>
      <c r="D77" s="162">
        <v>-1</v>
      </c>
      <c r="E77" s="162">
        <v>-4</v>
      </c>
      <c r="F77" s="162">
        <v>0</v>
      </c>
      <c r="G77" s="162">
        <v>-13</v>
      </c>
      <c r="H77" s="162">
        <v>11</v>
      </c>
      <c r="I77" s="162">
        <v>-2</v>
      </c>
      <c r="J77" s="162">
        <v>-6</v>
      </c>
      <c r="K77" s="162">
        <v>-7</v>
      </c>
      <c r="L77" s="162">
        <v>-62</v>
      </c>
      <c r="M77" s="162">
        <v>-65</v>
      </c>
      <c r="N77" s="162">
        <v>-38</v>
      </c>
    </row>
    <row r="78" spans="1:14" x14ac:dyDescent="0.3">
      <c r="B78" s="37" t="s">
        <v>30</v>
      </c>
      <c r="C78" s="162">
        <v>-10</v>
      </c>
      <c r="D78" s="162">
        <v>-12</v>
      </c>
      <c r="E78" s="162">
        <v>-6</v>
      </c>
      <c r="F78" s="162">
        <v>-3</v>
      </c>
      <c r="G78" s="162">
        <v>-13</v>
      </c>
      <c r="H78" s="162">
        <v>-18</v>
      </c>
      <c r="I78" s="162">
        <v>-38</v>
      </c>
      <c r="J78" s="162">
        <v>-27</v>
      </c>
      <c r="K78" s="162">
        <v>-16</v>
      </c>
      <c r="L78" s="162">
        <v>-114</v>
      </c>
      <c r="M78" s="162">
        <v>4</v>
      </c>
      <c r="N78" s="162">
        <v>91</v>
      </c>
    </row>
    <row r="79" spans="1:14" x14ac:dyDescent="0.3">
      <c r="B79" s="37" t="s">
        <v>86</v>
      </c>
      <c r="C79" s="162">
        <v>0</v>
      </c>
      <c r="D79" s="162">
        <v>0</v>
      </c>
      <c r="E79" s="162">
        <v>18</v>
      </c>
      <c r="F79" s="162">
        <v>80</v>
      </c>
      <c r="G79" s="162">
        <v>32</v>
      </c>
      <c r="H79" s="162">
        <v>18</v>
      </c>
      <c r="I79" s="162">
        <v>86</v>
      </c>
      <c r="J79" s="162">
        <v>4</v>
      </c>
      <c r="K79" s="162">
        <v>24</v>
      </c>
      <c r="L79" s="162">
        <v>97</v>
      </c>
      <c r="M79" s="162">
        <v>127</v>
      </c>
      <c r="N79" s="162">
        <v>127</v>
      </c>
    </row>
    <row r="80" spans="1:14" x14ac:dyDescent="0.3">
      <c r="B80" s="37" t="s">
        <v>87</v>
      </c>
      <c r="C80" s="162">
        <v>-13</v>
      </c>
      <c r="D80" s="162">
        <v>-27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</row>
    <row r="81" spans="2:14" ht="15" thickBot="1" x14ac:dyDescent="0.35">
      <c r="B81" s="37" t="s">
        <v>88</v>
      </c>
      <c r="C81" s="162">
        <v>75</v>
      </c>
      <c r="D81" s="162">
        <v>8</v>
      </c>
      <c r="E81" s="162">
        <v>-3</v>
      </c>
      <c r="F81" s="162">
        <v>14</v>
      </c>
      <c r="G81" s="162">
        <v>-10</v>
      </c>
      <c r="H81" s="162">
        <v>-20</v>
      </c>
      <c r="I81" s="162">
        <v>5</v>
      </c>
      <c r="J81" s="162">
        <v>-12</v>
      </c>
      <c r="K81" s="162">
        <v>-10</v>
      </c>
      <c r="L81" s="162">
        <v>-17</v>
      </c>
      <c r="M81" s="162">
        <v>85</v>
      </c>
      <c r="N81" s="162">
        <v>-69</v>
      </c>
    </row>
    <row r="82" spans="2:14" s="2" customFormat="1" x14ac:dyDescent="0.3">
      <c r="B82" s="41" t="s">
        <v>89</v>
      </c>
      <c r="C82" s="163">
        <v>49</v>
      </c>
      <c r="D82" s="163">
        <v>-31</v>
      </c>
      <c r="E82" s="163">
        <v>6</v>
      </c>
      <c r="F82" s="163">
        <v>91</v>
      </c>
      <c r="G82" s="163">
        <v>-4</v>
      </c>
      <c r="H82" s="163">
        <v>-8</v>
      </c>
      <c r="I82" s="163">
        <v>51</v>
      </c>
      <c r="J82" s="163">
        <v>-41</v>
      </c>
      <c r="K82" s="163">
        <v>-8</v>
      </c>
      <c r="L82" s="163">
        <v>-96</v>
      </c>
      <c r="M82" s="163">
        <v>150</v>
      </c>
      <c r="N82" s="163">
        <v>111</v>
      </c>
    </row>
    <row r="83" spans="2:14" ht="15" thickBot="1" x14ac:dyDescent="0.35">
      <c r="B83" s="37" t="s">
        <v>90</v>
      </c>
      <c r="C83" s="162">
        <v>-35</v>
      </c>
      <c r="D83" s="162">
        <v>-39</v>
      </c>
      <c r="E83" s="162">
        <v>-37</v>
      </c>
      <c r="F83" s="162">
        <v>-126</v>
      </c>
      <c r="G83" s="162">
        <v>-178</v>
      </c>
      <c r="H83" s="162">
        <v>-140</v>
      </c>
      <c r="I83" s="162">
        <v>-87</v>
      </c>
      <c r="J83" s="162">
        <v>-141</v>
      </c>
      <c r="K83" s="162">
        <v>-126</v>
      </c>
      <c r="L83" s="162">
        <v>-89</v>
      </c>
      <c r="M83" s="162">
        <v>-102</v>
      </c>
      <c r="N83" s="162">
        <v>-138</v>
      </c>
    </row>
    <row r="84" spans="2:14" s="2" customFormat="1" x14ac:dyDescent="0.3">
      <c r="B84" s="39" t="s">
        <v>105</v>
      </c>
      <c r="C84" s="163">
        <v>276</v>
      </c>
      <c r="D84" s="163">
        <v>212</v>
      </c>
      <c r="E84" s="163">
        <v>204</v>
      </c>
      <c r="F84" s="163">
        <v>409</v>
      </c>
      <c r="G84" s="163">
        <v>424</v>
      </c>
      <c r="H84" s="163">
        <v>728</v>
      </c>
      <c r="I84" s="163">
        <v>751</v>
      </c>
      <c r="J84" s="163">
        <v>930</v>
      </c>
      <c r="K84" s="163">
        <v>1026</v>
      </c>
      <c r="L84" s="163">
        <v>1010</v>
      </c>
      <c r="M84" s="163">
        <v>1658</v>
      </c>
      <c r="N84" s="163">
        <v>1894</v>
      </c>
    </row>
    <row r="85" spans="2:14" x14ac:dyDescent="0.3"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</row>
    <row r="86" spans="2:14" x14ac:dyDescent="0.3">
      <c r="B86" s="38" t="s">
        <v>91</v>
      </c>
      <c r="C86" s="162">
        <v>-287</v>
      </c>
      <c r="D86" s="162">
        <v>-227</v>
      </c>
      <c r="E86" s="162">
        <v>-201</v>
      </c>
      <c r="F86" s="162">
        <v>-119</v>
      </c>
      <c r="G86" s="162">
        <v>-167</v>
      </c>
      <c r="H86" s="162">
        <v>-289</v>
      </c>
      <c r="I86" s="162">
        <v>-219</v>
      </c>
      <c r="J86" s="162">
        <v>-458</v>
      </c>
      <c r="K86" s="162">
        <v>-842</v>
      </c>
      <c r="L86" s="162">
        <v>-853</v>
      </c>
      <c r="M86" s="162">
        <v>-876</v>
      </c>
      <c r="N86" s="162">
        <v>-1010</v>
      </c>
    </row>
    <row r="87" spans="2:14" x14ac:dyDescent="0.3">
      <c r="B87" s="38" t="s">
        <v>92</v>
      </c>
      <c r="C87" s="162">
        <v>1</v>
      </c>
      <c r="D87" s="162">
        <v>1</v>
      </c>
      <c r="E87" s="162">
        <v>1</v>
      </c>
      <c r="F87" s="162">
        <v>3</v>
      </c>
      <c r="G87" s="162">
        <v>1</v>
      </c>
      <c r="H87" s="162">
        <v>1</v>
      </c>
      <c r="I87" s="162">
        <v>1</v>
      </c>
      <c r="J87" s="162">
        <v>2</v>
      </c>
      <c r="K87" s="162">
        <v>4</v>
      </c>
      <c r="L87" s="162">
        <v>5</v>
      </c>
      <c r="M87" s="162">
        <v>5</v>
      </c>
      <c r="N87" s="162">
        <v>5</v>
      </c>
    </row>
    <row r="88" spans="2:14" x14ac:dyDescent="0.3">
      <c r="B88" s="38" t="s">
        <v>93</v>
      </c>
      <c r="C88" s="162">
        <v>-1094</v>
      </c>
      <c r="D88" s="162">
        <v>-1229</v>
      </c>
      <c r="E88" s="162">
        <v>-1706</v>
      </c>
      <c r="F88" s="162">
        <v>-1872</v>
      </c>
      <c r="G88" s="162">
        <v>0</v>
      </c>
      <c r="H88" s="162">
        <v>0</v>
      </c>
      <c r="I88" s="162">
        <v>-278</v>
      </c>
      <c r="J88" s="162">
        <v>-160</v>
      </c>
      <c r="K88" s="162">
        <v>-89</v>
      </c>
      <c r="L88" s="162">
        <v>-770</v>
      </c>
      <c r="M88" s="162">
        <v>0</v>
      </c>
      <c r="N88" s="162">
        <v>-38</v>
      </c>
    </row>
    <row r="89" spans="2:14" x14ac:dyDescent="0.3">
      <c r="B89" s="38" t="s">
        <v>94</v>
      </c>
      <c r="C89" s="162">
        <v>1114</v>
      </c>
      <c r="D89" s="162">
        <v>1249</v>
      </c>
      <c r="E89" s="162">
        <v>1709</v>
      </c>
      <c r="F89" s="162">
        <v>1702</v>
      </c>
      <c r="G89" s="162">
        <v>96</v>
      </c>
      <c r="H89" s="162">
        <v>144</v>
      </c>
      <c r="I89" s="162">
        <v>0</v>
      </c>
      <c r="J89" s="162">
        <v>0</v>
      </c>
      <c r="K89" s="162">
        <v>0</v>
      </c>
      <c r="L89" s="162">
        <v>32</v>
      </c>
      <c r="M89" s="162">
        <v>47</v>
      </c>
      <c r="N89" s="162">
        <v>0</v>
      </c>
    </row>
    <row r="90" spans="2:14" x14ac:dyDescent="0.3">
      <c r="B90" s="38" t="s">
        <v>95</v>
      </c>
      <c r="C90" s="162">
        <v>0</v>
      </c>
      <c r="D90" s="162">
        <v>0</v>
      </c>
      <c r="E90" s="162">
        <v>0</v>
      </c>
      <c r="F90" s="162">
        <v>0</v>
      </c>
      <c r="G90" s="162">
        <v>16</v>
      </c>
      <c r="H90" s="162">
        <v>39</v>
      </c>
      <c r="I90" s="162">
        <v>37</v>
      </c>
      <c r="J90" s="162">
        <v>23</v>
      </c>
      <c r="K90" s="162">
        <v>21</v>
      </c>
      <c r="L90" s="162">
        <v>13</v>
      </c>
      <c r="M90" s="162">
        <v>5</v>
      </c>
      <c r="N90" s="162">
        <v>11</v>
      </c>
    </row>
    <row r="91" spans="2:14" x14ac:dyDescent="0.3">
      <c r="B91" s="38" t="s">
        <v>96</v>
      </c>
      <c r="C91" s="162">
        <v>6</v>
      </c>
      <c r="D91" s="162">
        <v>6</v>
      </c>
      <c r="E91" s="162">
        <v>8</v>
      </c>
      <c r="F91" s="162">
        <v>10</v>
      </c>
      <c r="G91" s="162">
        <v>6</v>
      </c>
      <c r="H91" s="162">
        <v>0</v>
      </c>
      <c r="I91" s="162">
        <v>0</v>
      </c>
      <c r="J91" s="162">
        <v>0</v>
      </c>
      <c r="K91" s="162">
        <v>0</v>
      </c>
      <c r="L91" s="162">
        <v>0</v>
      </c>
      <c r="M91" s="162">
        <v>0</v>
      </c>
      <c r="N91" s="162">
        <v>0</v>
      </c>
    </row>
    <row r="92" spans="2:14" ht="15" thickBot="1" x14ac:dyDescent="0.35">
      <c r="B92" s="38" t="s">
        <v>97</v>
      </c>
      <c r="C92" s="162">
        <v>-2</v>
      </c>
      <c r="D92" s="162">
        <v>1</v>
      </c>
      <c r="E92" s="162">
        <v>0</v>
      </c>
      <c r="F92" s="162">
        <v>-56</v>
      </c>
      <c r="G92" s="162">
        <v>-409</v>
      </c>
      <c r="H92" s="162">
        <v>6</v>
      </c>
      <c r="I92" s="162">
        <v>-143</v>
      </c>
      <c r="J92" s="162">
        <v>-62</v>
      </c>
      <c r="K92" s="162">
        <v>311</v>
      </c>
      <c r="L92" s="162">
        <v>287</v>
      </c>
      <c r="M92" s="162">
        <v>-31</v>
      </c>
      <c r="N92" s="162">
        <v>-52</v>
      </c>
    </row>
    <row r="93" spans="2:14" s="2" customFormat="1" x14ac:dyDescent="0.3">
      <c r="B93" s="40" t="s">
        <v>106</v>
      </c>
      <c r="C93" s="163">
        <v>-262</v>
      </c>
      <c r="D93" s="163">
        <v>-200</v>
      </c>
      <c r="E93" s="163">
        <v>-188</v>
      </c>
      <c r="F93" s="163">
        <v>-332</v>
      </c>
      <c r="G93" s="163">
        <v>-457</v>
      </c>
      <c r="H93" s="163">
        <v>-99</v>
      </c>
      <c r="I93" s="163">
        <v>-602</v>
      </c>
      <c r="J93" s="163">
        <v>-654</v>
      </c>
      <c r="K93" s="163">
        <v>-595</v>
      </c>
      <c r="L93" s="163">
        <v>-1285</v>
      </c>
      <c r="M93" s="163">
        <v>-850</v>
      </c>
      <c r="N93" s="163">
        <v>-1084</v>
      </c>
    </row>
    <row r="94" spans="2:14" x14ac:dyDescent="0.3"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</row>
    <row r="95" spans="2:14" x14ac:dyDescent="0.3">
      <c r="B95" s="37" t="s">
        <v>98</v>
      </c>
      <c r="C95" s="162">
        <v>1</v>
      </c>
      <c r="D95" s="162">
        <v>2</v>
      </c>
      <c r="E95" s="162">
        <v>5</v>
      </c>
      <c r="F95" s="162">
        <v>21</v>
      </c>
      <c r="G95" s="162">
        <v>23</v>
      </c>
      <c r="H95" s="162">
        <v>11</v>
      </c>
      <c r="I95" s="162">
        <v>3</v>
      </c>
      <c r="J95" s="162">
        <v>6</v>
      </c>
      <c r="K95" s="162">
        <v>8</v>
      </c>
      <c r="L95" s="162">
        <v>0</v>
      </c>
      <c r="M95" s="162">
        <v>0</v>
      </c>
      <c r="N95" s="162">
        <v>2</v>
      </c>
    </row>
    <row r="96" spans="2:14" x14ac:dyDescent="0.3">
      <c r="B96" s="37" t="s">
        <v>99</v>
      </c>
      <c r="C96" s="162">
        <v>0</v>
      </c>
      <c r="D96" s="162">
        <v>0</v>
      </c>
      <c r="E96" s="162">
        <v>0</v>
      </c>
      <c r="F96" s="162">
        <v>0</v>
      </c>
      <c r="G96" s="162">
        <v>0</v>
      </c>
      <c r="H96" s="162">
        <v>0</v>
      </c>
      <c r="I96" s="162">
        <v>0</v>
      </c>
      <c r="J96" s="162">
        <v>120</v>
      </c>
      <c r="K96" s="162">
        <v>63</v>
      </c>
      <c r="L96" s="162">
        <v>1101</v>
      </c>
      <c r="M96" s="162">
        <v>117</v>
      </c>
      <c r="N96" s="162">
        <v>243</v>
      </c>
    </row>
    <row r="97" spans="2:14" x14ac:dyDescent="0.3">
      <c r="B97" s="37" t="s">
        <v>100</v>
      </c>
      <c r="C97" s="162">
        <v>0</v>
      </c>
      <c r="D97" s="162">
        <v>0</v>
      </c>
      <c r="E97" s="162">
        <v>0</v>
      </c>
      <c r="F97" s="162">
        <v>0</v>
      </c>
      <c r="G97" s="162">
        <v>0</v>
      </c>
      <c r="H97" s="162">
        <v>0</v>
      </c>
      <c r="I97" s="162">
        <v>0</v>
      </c>
      <c r="J97" s="162">
        <v>0</v>
      </c>
      <c r="K97" s="162">
        <v>0</v>
      </c>
      <c r="L97" s="162">
        <v>-92</v>
      </c>
      <c r="M97" s="162">
        <v>-122</v>
      </c>
      <c r="N97" s="162">
        <v>-172</v>
      </c>
    </row>
    <row r="98" spans="2:14" x14ac:dyDescent="0.3">
      <c r="B98" s="37" t="s">
        <v>101</v>
      </c>
      <c r="C98" s="162">
        <v>0</v>
      </c>
      <c r="D98" s="162">
        <v>0</v>
      </c>
      <c r="E98" s="162">
        <v>0</v>
      </c>
      <c r="F98" s="162">
        <v>0</v>
      </c>
      <c r="G98" s="162">
        <v>0</v>
      </c>
      <c r="H98" s="162">
        <v>-165</v>
      </c>
      <c r="I98" s="162">
        <v>0</v>
      </c>
      <c r="J98" s="162">
        <v>0</v>
      </c>
      <c r="K98" s="162">
        <v>-3</v>
      </c>
      <c r="L98" s="162">
        <v>-44</v>
      </c>
      <c r="M98" s="162">
        <v>-220</v>
      </c>
      <c r="N98" s="162">
        <v>-111</v>
      </c>
    </row>
    <row r="99" spans="2:14" x14ac:dyDescent="0.3">
      <c r="B99" s="37" t="s">
        <v>102</v>
      </c>
      <c r="C99" s="162">
        <v>0</v>
      </c>
      <c r="D99" s="162">
        <v>-16</v>
      </c>
      <c r="E99" s="162">
        <v>-16</v>
      </c>
      <c r="F99" s="162">
        <v>-16</v>
      </c>
      <c r="G99" s="162">
        <v>-33</v>
      </c>
      <c r="H99" s="162">
        <v>-145</v>
      </c>
      <c r="I99" s="162">
        <v>0</v>
      </c>
      <c r="J99" s="162">
        <v>-79</v>
      </c>
      <c r="K99" s="162">
        <v>-79</v>
      </c>
      <c r="L99" s="162">
        <v>-79</v>
      </c>
      <c r="M99" s="162">
        <v>-79</v>
      </c>
      <c r="N99" s="162">
        <v>-81</v>
      </c>
    </row>
    <row r="100" spans="2:14" x14ac:dyDescent="0.3">
      <c r="B100" s="37" t="s">
        <v>103</v>
      </c>
      <c r="C100" s="162">
        <v>0</v>
      </c>
      <c r="D100" s="162">
        <v>0</v>
      </c>
      <c r="E100" s="162">
        <v>0</v>
      </c>
      <c r="F100" s="162">
        <v>0</v>
      </c>
      <c r="G100" s="162">
        <v>0</v>
      </c>
      <c r="H100" s="162">
        <v>-132</v>
      </c>
      <c r="I100" s="162">
        <v>-284</v>
      </c>
      <c r="J100" s="162">
        <v>-310</v>
      </c>
      <c r="K100" s="162">
        <v>-373</v>
      </c>
      <c r="L100" s="162">
        <v>-450</v>
      </c>
      <c r="M100" s="162">
        <v>-545</v>
      </c>
      <c r="N100" s="162">
        <v>-641</v>
      </c>
    </row>
    <row r="101" spans="2:14" ht="15" thickBot="1" x14ac:dyDescent="0.35">
      <c r="B101" s="37" t="s">
        <v>104</v>
      </c>
      <c r="C101" s="162">
        <v>0</v>
      </c>
      <c r="D101" s="162">
        <v>-3</v>
      </c>
      <c r="E101" s="162">
        <v>-3</v>
      </c>
      <c r="F101" s="162">
        <v>-39</v>
      </c>
      <c r="G101" s="162">
        <v>-7</v>
      </c>
      <c r="H101" s="162">
        <v>-30</v>
      </c>
      <c r="I101" s="162">
        <v>-7</v>
      </c>
      <c r="J101" s="162">
        <v>-43</v>
      </c>
      <c r="K101" s="162">
        <v>-42</v>
      </c>
      <c r="L101" s="162">
        <v>-59</v>
      </c>
      <c r="M101" s="162">
        <v>9</v>
      </c>
      <c r="N101" s="162">
        <v>-20</v>
      </c>
    </row>
    <row r="102" spans="2:14" s="2" customFormat="1" x14ac:dyDescent="0.3">
      <c r="B102" s="39" t="s">
        <v>107</v>
      </c>
      <c r="C102" s="163">
        <v>1</v>
      </c>
      <c r="D102" s="163">
        <v>-18</v>
      </c>
      <c r="E102" s="163">
        <v>-15</v>
      </c>
      <c r="F102" s="163">
        <v>-35</v>
      </c>
      <c r="G102" s="163">
        <v>-17</v>
      </c>
      <c r="H102" s="163">
        <v>-461</v>
      </c>
      <c r="I102" s="163">
        <v>-289</v>
      </c>
      <c r="J102" s="163">
        <v>-307</v>
      </c>
      <c r="K102" s="163">
        <v>-426</v>
      </c>
      <c r="L102" s="163">
        <v>377</v>
      </c>
      <c r="M102" s="163">
        <v>-839</v>
      </c>
      <c r="N102" s="163">
        <v>-780</v>
      </c>
    </row>
    <row r="103" spans="2:14" ht="15" thickBot="1" x14ac:dyDescent="0.35"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</row>
    <row r="104" spans="2:14" s="2" customFormat="1" x14ac:dyDescent="0.3">
      <c r="B104" s="40" t="s">
        <v>21</v>
      </c>
      <c r="C104" s="163">
        <v>15</v>
      </c>
      <c r="D104" s="163">
        <v>-6</v>
      </c>
      <c r="E104" s="163">
        <v>0</v>
      </c>
      <c r="F104" s="163">
        <v>42</v>
      </c>
      <c r="G104" s="163">
        <v>-51</v>
      </c>
      <c r="H104" s="163">
        <v>168</v>
      </c>
      <c r="I104" s="163">
        <v>-140</v>
      </c>
      <c r="J104" s="163">
        <v>-31</v>
      </c>
      <c r="K104" s="163">
        <v>5</v>
      </c>
      <c r="L104" s="163">
        <v>102</v>
      </c>
      <c r="M104" s="163">
        <v>-32</v>
      </c>
      <c r="N104" s="163">
        <v>29</v>
      </c>
    </row>
  </sheetData>
  <mergeCells count="1">
    <mergeCell ref="B10:N10"/>
  </mergeCells>
  <conditionalFormatting sqref="E72:N72">
    <cfRule type="cellIs" dxfId="0" priority="1" operator="equal">
      <formula>TRUE</formula>
    </cfRule>
  </conditionalFormatting>
  <pageMargins left="0.7" right="0.7" top="0.75" bottom="0.75" header="0.3" footer="0.3"/>
  <ignoredErrors>
    <ignoredError sqref="E22:N22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0137-4B1D-4841-A0D4-0160AF54FD1D}">
  <sheetPr>
    <tabColor theme="9" tint="0.39997558519241921"/>
  </sheetPr>
  <dimension ref="B2:P45"/>
  <sheetViews>
    <sheetView showGridLines="0" topLeftCell="A12" workbookViewId="0">
      <selection activeCell="N18" sqref="N17:N18"/>
    </sheetView>
  </sheetViews>
  <sheetFormatPr defaultRowHeight="14.4" x14ac:dyDescent="0.3"/>
  <cols>
    <col min="1" max="1" width="1.88671875" customWidth="1"/>
    <col min="4" max="11" width="11.44140625" customWidth="1"/>
  </cols>
  <sheetData>
    <row r="2" spans="2:16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2:16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2:16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9" spans="2:16" x14ac:dyDescent="0.3">
      <c r="B9" s="42" t="s">
        <v>108</v>
      </c>
    </row>
    <row r="11" spans="2:16" x14ac:dyDescent="0.3">
      <c r="B11" t="s">
        <v>109</v>
      </c>
    </row>
    <row r="12" spans="2:16" x14ac:dyDescent="0.3">
      <c r="B12" s="43"/>
      <c r="C12" s="43"/>
      <c r="D12" s="43"/>
      <c r="E12" s="43"/>
      <c r="F12" s="43" t="s">
        <v>113</v>
      </c>
      <c r="G12" s="43"/>
      <c r="H12" s="43" t="s">
        <v>116</v>
      </c>
      <c r="I12" s="43" t="s">
        <v>116</v>
      </c>
      <c r="J12" s="43" t="s">
        <v>118</v>
      </c>
      <c r="K12" s="43" t="s">
        <v>120</v>
      </c>
    </row>
    <row r="13" spans="2:16" ht="16.2" x14ac:dyDescent="0.3">
      <c r="B13" s="44" t="s">
        <v>110</v>
      </c>
      <c r="C13" s="44"/>
      <c r="D13" s="44" t="s">
        <v>111</v>
      </c>
      <c r="E13" s="44" t="s">
        <v>112</v>
      </c>
      <c r="F13" s="44" t="s">
        <v>114</v>
      </c>
      <c r="G13" s="44" t="s">
        <v>115</v>
      </c>
      <c r="H13" s="44" t="s">
        <v>117</v>
      </c>
      <c r="I13" s="44" t="s">
        <v>135</v>
      </c>
      <c r="J13" s="44" t="s">
        <v>119</v>
      </c>
      <c r="K13" s="44" t="s">
        <v>121</v>
      </c>
    </row>
    <row r="14" spans="2:16" x14ac:dyDescent="0.3">
      <c r="B14" t="s">
        <v>124</v>
      </c>
      <c r="D14" t="s">
        <v>134</v>
      </c>
      <c r="E14" s="59">
        <v>4902.22</v>
      </c>
      <c r="F14" s="59">
        <v>28023.62</v>
      </c>
      <c r="G14" s="58">
        <v>0.3</v>
      </c>
      <c r="H14" s="17">
        <f>E14/F14</f>
        <v>0.17493171831476448</v>
      </c>
      <c r="I14" s="17">
        <f>E14/SUM(E14:F14)</f>
        <v>0.14888671025553185</v>
      </c>
      <c r="J14" s="59">
        <v>1.24</v>
      </c>
      <c r="K14" s="61">
        <f>J14/(1+(1-G14)*I14)</f>
        <v>1.1229639176009147</v>
      </c>
    </row>
    <row r="15" spans="2:16" x14ac:dyDescent="0.3">
      <c r="B15" t="s">
        <v>125</v>
      </c>
      <c r="D15" t="s">
        <v>134</v>
      </c>
      <c r="E15" s="59">
        <v>244.79</v>
      </c>
      <c r="F15" s="59">
        <v>15634.7</v>
      </c>
      <c r="G15" s="58">
        <v>0.3</v>
      </c>
      <c r="H15" s="17">
        <f t="shared" ref="H15:H18" si="0">E15/F15</f>
        <v>1.5656840233582991E-2</v>
      </c>
      <c r="I15" s="17">
        <f t="shared" ref="I15:I18" si="1">E15/SUM(E15:F15)</f>
        <v>1.5415482487157961E-2</v>
      </c>
      <c r="J15" s="59">
        <v>0.54</v>
      </c>
      <c r="K15" s="61">
        <f t="shared" ref="K15:K18" si="2">J15/(1+(1-G15)*I15)</f>
        <v>0.53423515512549713</v>
      </c>
    </row>
    <row r="16" spans="2:16" x14ac:dyDescent="0.3">
      <c r="B16" t="s">
        <v>126</v>
      </c>
      <c r="D16" t="s">
        <v>134</v>
      </c>
      <c r="E16" s="59">
        <v>3833.15</v>
      </c>
      <c r="F16" s="59">
        <v>14980.22</v>
      </c>
      <c r="G16" s="58">
        <v>0.3</v>
      </c>
      <c r="H16" s="17">
        <f t="shared" si="0"/>
        <v>0.25588075475527061</v>
      </c>
      <c r="I16" s="17">
        <f t="shared" si="1"/>
        <v>0.2037460593184528</v>
      </c>
      <c r="J16" s="59">
        <v>1.3</v>
      </c>
      <c r="K16" s="61">
        <f t="shared" si="2"/>
        <v>1.1377338482990895</v>
      </c>
    </row>
    <row r="17" spans="2:12" x14ac:dyDescent="0.3">
      <c r="B17" t="s">
        <v>127</v>
      </c>
      <c r="D17" t="s">
        <v>134</v>
      </c>
      <c r="E17" s="59">
        <v>1804.79</v>
      </c>
      <c r="F17" s="59">
        <v>8981.91</v>
      </c>
      <c r="G17" s="58">
        <v>0.3</v>
      </c>
      <c r="H17" s="17">
        <f t="shared" si="0"/>
        <v>0.20093610379084181</v>
      </c>
      <c r="I17" s="17">
        <f t="shared" si="1"/>
        <v>0.16731623202647702</v>
      </c>
      <c r="J17" s="59">
        <v>1.03</v>
      </c>
      <c r="K17" s="61">
        <f t="shared" si="2"/>
        <v>0.92201262517268601</v>
      </c>
    </row>
    <row r="18" spans="2:12" x14ac:dyDescent="0.3">
      <c r="B18" s="44" t="s">
        <v>128</v>
      </c>
      <c r="C18" s="44"/>
      <c r="D18" s="44" t="s">
        <v>134</v>
      </c>
      <c r="E18" s="64">
        <v>1967</v>
      </c>
      <c r="F18" s="64">
        <v>6534.6</v>
      </c>
      <c r="G18" s="62">
        <v>0.3</v>
      </c>
      <c r="H18" s="63">
        <f t="shared" si="0"/>
        <v>0.30101306889480611</v>
      </c>
      <c r="I18" s="63">
        <f t="shared" si="1"/>
        <v>0.23136821304225086</v>
      </c>
      <c r="J18" s="64">
        <v>0.64</v>
      </c>
      <c r="K18" s="65">
        <f t="shared" si="2"/>
        <v>0.55079455382902265</v>
      </c>
    </row>
    <row r="20" spans="2:12" x14ac:dyDescent="0.3">
      <c r="F20" s="43" t="s">
        <v>138</v>
      </c>
      <c r="G20" s="66">
        <f>AVERAGE(G14:G18)</f>
        <v>0.3</v>
      </c>
      <c r="H20" s="66">
        <f t="shared" ref="H20:K20" si="3">AVERAGE(H14:H18)</f>
        <v>0.18968369719785319</v>
      </c>
      <c r="I20" s="66">
        <f t="shared" si="3"/>
        <v>0.15334653942597409</v>
      </c>
      <c r="J20" s="68">
        <f t="shared" si="3"/>
        <v>0.95</v>
      </c>
      <c r="K20" s="68">
        <f t="shared" si="3"/>
        <v>0.85354802000544205</v>
      </c>
    </row>
    <row r="21" spans="2:12" x14ac:dyDescent="0.3">
      <c r="F21" s="44" t="s">
        <v>139</v>
      </c>
      <c r="G21" s="67">
        <f>MEDIAN(G14:G18)</f>
        <v>0.3</v>
      </c>
      <c r="H21" s="67">
        <f t="shared" ref="H21:K21" si="4">MEDIAN(H14:H18)</f>
        <v>0.20093610379084181</v>
      </c>
      <c r="I21" s="67">
        <f t="shared" si="4"/>
        <v>0.16731623202647702</v>
      </c>
      <c r="J21" s="65">
        <f t="shared" si="4"/>
        <v>1.03</v>
      </c>
      <c r="K21" s="65">
        <f t="shared" si="4"/>
        <v>0.92201262517268601</v>
      </c>
    </row>
    <row r="24" spans="2:12" x14ac:dyDescent="0.3">
      <c r="B24" s="44" t="s">
        <v>140</v>
      </c>
      <c r="C24" s="44"/>
      <c r="D24" s="44"/>
      <c r="E24" s="44"/>
      <c r="F24" s="44"/>
      <c r="H24" s="44" t="s">
        <v>143</v>
      </c>
      <c r="I24" s="44"/>
      <c r="J24" s="44"/>
      <c r="K24" s="44"/>
      <c r="L24" s="44"/>
    </row>
    <row r="26" spans="2:12" x14ac:dyDescent="0.3">
      <c r="B26" t="s">
        <v>141</v>
      </c>
      <c r="F26" s="17">
        <f>MEDIAN('Historical Financial Statment'!$E$28:$N$28)/WACC!E14</f>
        <v>3.4813819045248891E-2</v>
      </c>
      <c r="H26" t="s">
        <v>144</v>
      </c>
      <c r="K26" s="58">
        <v>7.3499999999999996E-2</v>
      </c>
    </row>
    <row r="27" spans="2:12" x14ac:dyDescent="0.3">
      <c r="B27" t="s">
        <v>115</v>
      </c>
      <c r="F27" s="4">
        <f>G21</f>
        <v>0.3</v>
      </c>
      <c r="H27" t="s">
        <v>145</v>
      </c>
      <c r="K27" s="4">
        <f>12.77%-K26</f>
        <v>5.4200000000000012E-2</v>
      </c>
    </row>
    <row r="28" spans="2:12" x14ac:dyDescent="0.3">
      <c r="B28" s="69" t="s">
        <v>142</v>
      </c>
      <c r="C28" s="69"/>
      <c r="D28" s="69"/>
      <c r="E28" s="69"/>
      <c r="F28" s="74">
        <f>F26*(1-F27)</f>
        <v>2.4369673331674221E-2</v>
      </c>
      <c r="H28" t="s">
        <v>146</v>
      </c>
      <c r="K28" s="61">
        <f>K37</f>
        <v>0.80831838266765821</v>
      </c>
    </row>
    <row r="29" spans="2:12" x14ac:dyDescent="0.3">
      <c r="H29" s="69" t="s">
        <v>143</v>
      </c>
      <c r="I29" s="69"/>
      <c r="J29" s="69"/>
      <c r="K29" s="74">
        <f>K26+K27*K28</f>
        <v>0.11731085634058708</v>
      </c>
      <c r="L29" s="69"/>
    </row>
    <row r="32" spans="2:12" ht="16.2" x14ac:dyDescent="0.3">
      <c r="B32" s="44" t="s">
        <v>147</v>
      </c>
      <c r="C32" s="44"/>
      <c r="D32" s="44"/>
      <c r="E32" s="44"/>
      <c r="F32" s="44"/>
      <c r="H32" s="44" t="s">
        <v>152</v>
      </c>
      <c r="I32" s="44"/>
      <c r="J32" s="44"/>
      <c r="K32" s="44"/>
      <c r="L32" s="44"/>
    </row>
    <row r="34" spans="2:12" x14ac:dyDescent="0.3">
      <c r="E34" s="72" t="s">
        <v>148</v>
      </c>
      <c r="F34" s="72" t="s">
        <v>149</v>
      </c>
      <c r="H34" t="s">
        <v>153</v>
      </c>
      <c r="K34" s="61">
        <f>K21</f>
        <v>0.92201262517268601</v>
      </c>
    </row>
    <row r="35" spans="2:12" x14ac:dyDescent="0.3">
      <c r="B35" t="s">
        <v>112</v>
      </c>
      <c r="D35">
        <f>E14</f>
        <v>4902.22</v>
      </c>
      <c r="E35" s="17">
        <f>D35/D37</f>
        <v>0.14888671025553185</v>
      </c>
      <c r="F35" s="4">
        <f>I21</f>
        <v>0.16731623202647702</v>
      </c>
      <c r="H35" t="s">
        <v>154</v>
      </c>
      <c r="K35" s="4">
        <f>F39</f>
        <v>0.20093610379084179</v>
      </c>
    </row>
    <row r="36" spans="2:12" x14ac:dyDescent="0.3">
      <c r="B36" t="s">
        <v>45</v>
      </c>
      <c r="D36">
        <f>F14</f>
        <v>28023.62</v>
      </c>
      <c r="E36" s="17">
        <f>D36/D37</f>
        <v>0.8511132897444682</v>
      </c>
      <c r="F36" s="4">
        <f>F37-F35</f>
        <v>0.83268376797352295</v>
      </c>
      <c r="H36" t="s">
        <v>115</v>
      </c>
      <c r="K36" s="4">
        <f>F27</f>
        <v>0.3</v>
      </c>
    </row>
    <row r="37" spans="2:12" x14ac:dyDescent="0.3">
      <c r="B37" s="69" t="s">
        <v>150</v>
      </c>
      <c r="C37" s="69"/>
      <c r="D37" s="69">
        <f>SUM(D35:D36)</f>
        <v>32925.839999999997</v>
      </c>
      <c r="E37" s="71">
        <f>SUM(E35:E36)</f>
        <v>1</v>
      </c>
      <c r="F37" s="70">
        <f>E37</f>
        <v>1</v>
      </c>
      <c r="H37" s="69" t="s">
        <v>151</v>
      </c>
      <c r="I37" s="69"/>
      <c r="J37" s="69"/>
      <c r="K37" s="75">
        <f>K34/(1+(1-K36)*K35)</f>
        <v>0.80831838266765821</v>
      </c>
    </row>
    <row r="39" spans="2:12" x14ac:dyDescent="0.3">
      <c r="D39" s="72" t="s">
        <v>155</v>
      </c>
      <c r="E39" s="73">
        <f>E35/E36</f>
        <v>0.17493171831476451</v>
      </c>
      <c r="F39" s="76">
        <f t="shared" ref="F39" si="5">F35/F36</f>
        <v>0.20093610379084179</v>
      </c>
    </row>
    <row r="40" spans="2:12" x14ac:dyDescent="0.3">
      <c r="H40" s="44" t="s">
        <v>156</v>
      </c>
      <c r="I40" s="44"/>
      <c r="J40" s="44"/>
      <c r="K40" s="44"/>
      <c r="L40" s="44"/>
    </row>
    <row r="42" spans="2:12" x14ac:dyDescent="0.3">
      <c r="K42" t="s">
        <v>157</v>
      </c>
      <c r="L42" t="s">
        <v>158</v>
      </c>
    </row>
    <row r="43" spans="2:12" x14ac:dyDescent="0.3">
      <c r="H43" t="s">
        <v>143</v>
      </c>
      <c r="K43" s="4">
        <f>K29</f>
        <v>0.11731085634058708</v>
      </c>
      <c r="L43" s="4">
        <f>F36</f>
        <v>0.83268376797352295</v>
      </c>
    </row>
    <row r="44" spans="2:12" x14ac:dyDescent="0.3">
      <c r="H44" t="s">
        <v>160</v>
      </c>
      <c r="J44" t="s">
        <v>159</v>
      </c>
      <c r="K44" s="4">
        <f>F28</f>
        <v>2.4369673331674221E-2</v>
      </c>
      <c r="L44" s="4">
        <f>F35</f>
        <v>0.16731623202647702</v>
      </c>
    </row>
    <row r="45" spans="2:12" x14ac:dyDescent="0.3">
      <c r="H45" s="69" t="s">
        <v>156</v>
      </c>
      <c r="I45" s="69"/>
      <c r="J45" s="69"/>
      <c r="K45" s="69"/>
      <c r="L45" s="74">
        <f>(K44*L44)+(K43*L43)</f>
        <v>0.10176028779945255</v>
      </c>
    </row>
  </sheetData>
  <pageMargins left="0.7" right="0.7" top="0.75" bottom="0.75" header="0.3" footer="0.3"/>
  <ignoredErrors>
    <ignoredError sqref="I14:I19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08FC-7BA1-4FD3-965C-D73126BBF689}">
  <sheetPr>
    <tabColor rgb="FFFFC000"/>
  </sheetPr>
  <dimension ref="A2:P63"/>
  <sheetViews>
    <sheetView showGridLines="0" topLeftCell="A37" workbookViewId="0">
      <selection activeCell="F52" sqref="F52"/>
    </sheetView>
  </sheetViews>
  <sheetFormatPr defaultRowHeight="14.4" x14ac:dyDescent="0.3"/>
  <cols>
    <col min="1" max="1" width="1.88671875" customWidth="1"/>
    <col min="6" max="6" width="20.21875" bestFit="1" customWidth="1"/>
  </cols>
  <sheetData>
    <row r="2" spans="2:16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6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6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6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6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6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9" spans="2:16" x14ac:dyDescent="0.3">
      <c r="B9" s="12" t="s">
        <v>161</v>
      </c>
      <c r="C9" s="12"/>
      <c r="D9" s="12"/>
      <c r="E9" s="12"/>
      <c r="F9" s="13">
        <f>'Data Sheet'!B56</f>
        <v>42825</v>
      </c>
      <c r="G9" s="13">
        <f>'Data Sheet'!C56</f>
        <v>43190</v>
      </c>
      <c r="H9" s="13">
        <f>'Data Sheet'!D56</f>
        <v>43555</v>
      </c>
      <c r="I9" s="13">
        <f>'Data Sheet'!E56</f>
        <v>43921</v>
      </c>
      <c r="J9" s="13">
        <f>'Data Sheet'!F56</f>
        <v>44286</v>
      </c>
      <c r="K9" s="13">
        <f>'Data Sheet'!G56</f>
        <v>44651</v>
      </c>
      <c r="L9" s="13">
        <f>'Data Sheet'!H56</f>
        <v>45016</v>
      </c>
      <c r="M9" s="13">
        <f>'Data Sheet'!I56</f>
        <v>45382</v>
      </c>
      <c r="N9" s="13">
        <f>'Data Sheet'!J56</f>
        <v>45747</v>
      </c>
      <c r="O9" s="13">
        <f>'Data Sheet'!K56</f>
        <v>46112</v>
      </c>
    </row>
    <row r="11" spans="2:16" x14ac:dyDescent="0.3">
      <c r="B11" s="79" t="s">
        <v>162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11"/>
    </row>
    <row r="12" spans="2:16" x14ac:dyDescent="0.3">
      <c r="B12" t="str">
        <f>'Data Collection'!B30</f>
        <v>Inventories</v>
      </c>
      <c r="F12" s="16">
        <f>'Data Collection'!E30</f>
        <v>61</v>
      </c>
      <c r="G12" s="16">
        <f>'Data Collection'!F30</f>
        <v>64</v>
      </c>
      <c r="H12" s="16">
        <f>'Data Collection'!G30</f>
        <v>77</v>
      </c>
      <c r="I12" s="16">
        <f>'Data Collection'!H30</f>
        <v>95</v>
      </c>
      <c r="J12" s="16">
        <f>'Data Collection'!I30</f>
        <v>133</v>
      </c>
      <c r="K12" s="16">
        <f>'Data Collection'!J30</f>
        <v>161</v>
      </c>
      <c r="L12" s="16">
        <f>'Data Collection'!K30</f>
        <v>177</v>
      </c>
      <c r="M12" s="16">
        <f>'Data Collection'!L30</f>
        <v>410</v>
      </c>
      <c r="N12" s="16">
        <f>'Data Collection'!M30</f>
        <v>406</v>
      </c>
      <c r="O12" s="16">
        <f>'Data Collection'!N30</f>
        <v>309</v>
      </c>
    </row>
    <row r="13" spans="2:16" x14ac:dyDescent="0.3">
      <c r="B13" t="str">
        <f>'Data Collection'!B31</f>
        <v>Trade receivables +</v>
      </c>
      <c r="F13" s="16">
        <f>'Data Collection'!E31</f>
        <v>16</v>
      </c>
      <c r="G13" s="16">
        <f>'Data Collection'!F31</f>
        <v>16</v>
      </c>
      <c r="H13" s="16">
        <f>'Data Collection'!G31</f>
        <v>27</v>
      </c>
      <c r="I13" s="16">
        <f>'Data Collection'!H31</f>
        <v>17</v>
      </c>
      <c r="J13" s="16">
        <f>'Data Collection'!I31</f>
        <v>17</v>
      </c>
      <c r="K13" s="16">
        <f>'Data Collection'!J31</f>
        <v>22</v>
      </c>
      <c r="L13" s="16">
        <f>'Data Collection'!K31</f>
        <v>29</v>
      </c>
      <c r="M13" s="16">
        <f>'Data Collection'!L31</f>
        <v>265</v>
      </c>
      <c r="N13" s="16">
        <f>'Data Collection'!M31</f>
        <v>330</v>
      </c>
      <c r="O13" s="16">
        <f>'Data Collection'!N31</f>
        <v>375</v>
      </c>
    </row>
    <row r="14" spans="2:16" x14ac:dyDescent="0.3">
      <c r="B14" t="str">
        <f>'Data Collection'!B33</f>
        <v>Loans n Advances</v>
      </c>
      <c r="F14" s="16">
        <f>'Data Collection'!E33</f>
        <v>5</v>
      </c>
      <c r="G14" s="16">
        <f>'Data Collection'!F33</f>
        <v>5</v>
      </c>
      <c r="H14" s="16">
        <f>'Data Collection'!G33</f>
        <v>7</v>
      </c>
      <c r="I14" s="16">
        <f>'Data Collection'!H33</f>
        <v>-2</v>
      </c>
      <c r="J14" s="16">
        <f>'Data Collection'!I33</f>
        <v>-3</v>
      </c>
      <c r="K14" s="16">
        <f>'Data Collection'!J33</f>
        <v>-2</v>
      </c>
      <c r="L14" s="16">
        <f>'Data Collection'!K33</f>
        <v>-1</v>
      </c>
      <c r="M14" s="16">
        <f>'Data Collection'!L33</f>
        <v>-1</v>
      </c>
      <c r="N14" s="16">
        <f>'Data Collection'!M33</f>
        <v>-5</v>
      </c>
      <c r="O14" s="16">
        <f>'Data Collection'!N33</f>
        <v>-9</v>
      </c>
    </row>
    <row r="15" spans="2:16" x14ac:dyDescent="0.3">
      <c r="B15" t="str">
        <f>'Data Collection'!B34</f>
        <v>Other asset items</v>
      </c>
      <c r="F15" s="16">
        <f>'Data Collection'!E34</f>
        <v>219</v>
      </c>
      <c r="G15" s="16">
        <f>'Data Collection'!F34</f>
        <v>216</v>
      </c>
      <c r="H15" s="16">
        <f>'Data Collection'!G34</f>
        <v>244</v>
      </c>
      <c r="I15" s="16">
        <f>'Data Collection'!H34</f>
        <v>324</v>
      </c>
      <c r="J15" s="16">
        <f>'Data Collection'!I34</f>
        <v>389</v>
      </c>
      <c r="K15" s="16">
        <f>'Data Collection'!J34</f>
        <v>327</v>
      </c>
      <c r="L15" s="16">
        <f>'Data Collection'!K34</f>
        <v>427</v>
      </c>
      <c r="M15" s="16">
        <f>'Data Collection'!L34</f>
        <v>597</v>
      </c>
      <c r="N15" s="16">
        <f>'Data Collection'!M34</f>
        <v>653</v>
      </c>
      <c r="O15" s="16">
        <f>'Data Collection'!N34</f>
        <v>745</v>
      </c>
    </row>
    <row r="16" spans="2:16" s="2" customFormat="1" x14ac:dyDescent="0.3">
      <c r="B16" s="2" t="s">
        <v>81</v>
      </c>
      <c r="F16" s="22">
        <f>SUM(F12:F15)</f>
        <v>301</v>
      </c>
      <c r="G16" s="22">
        <f t="shared" ref="G16:O16" si="0">SUM(G12:G15)</f>
        <v>301</v>
      </c>
      <c r="H16" s="22">
        <f t="shared" si="0"/>
        <v>355</v>
      </c>
      <c r="I16" s="22">
        <f t="shared" si="0"/>
        <v>434</v>
      </c>
      <c r="J16" s="22">
        <f t="shared" si="0"/>
        <v>536</v>
      </c>
      <c r="K16" s="22">
        <f t="shared" si="0"/>
        <v>508</v>
      </c>
      <c r="L16" s="22">
        <f t="shared" si="0"/>
        <v>632</v>
      </c>
      <c r="M16" s="22">
        <f t="shared" si="0"/>
        <v>1271</v>
      </c>
      <c r="N16" s="22">
        <f t="shared" si="0"/>
        <v>1384</v>
      </c>
      <c r="O16" s="22">
        <f t="shared" si="0"/>
        <v>1420</v>
      </c>
    </row>
    <row r="18" spans="2:15" x14ac:dyDescent="0.3">
      <c r="B18" s="79" t="s">
        <v>192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</row>
    <row r="19" spans="2:15" x14ac:dyDescent="0.3">
      <c r="B19" t="str">
        <f>'Data Collection'!B12</f>
        <v>Trade Payables</v>
      </c>
      <c r="F19" s="16">
        <f>'Data Collection'!E12</f>
        <v>314</v>
      </c>
      <c r="G19" s="16">
        <f>'Data Collection'!F12</f>
        <v>389</v>
      </c>
      <c r="H19" s="16">
        <f>'Data Collection'!G12</f>
        <v>421</v>
      </c>
      <c r="I19" s="16">
        <f>'Data Collection'!H12</f>
        <v>447</v>
      </c>
      <c r="J19" s="16">
        <f>'Data Collection'!I12</f>
        <v>533</v>
      </c>
      <c r="K19" s="16">
        <f>'Data Collection'!J12</f>
        <v>537</v>
      </c>
      <c r="L19" s="16">
        <f>'Data Collection'!K12</f>
        <v>561</v>
      </c>
      <c r="M19" s="16">
        <f>'Data Collection'!L12</f>
        <v>790</v>
      </c>
      <c r="N19" s="16">
        <f>'Data Collection'!M12</f>
        <v>901</v>
      </c>
      <c r="O19" s="16">
        <f>'Data Collection'!N12</f>
        <v>1036</v>
      </c>
    </row>
    <row r="20" spans="2:15" x14ac:dyDescent="0.3">
      <c r="B20" t="str">
        <f>'Data Collection'!B13</f>
        <v>Advance from Customers</v>
      </c>
      <c r="F20" s="16">
        <f>'Data Collection'!E13</f>
        <v>0</v>
      </c>
      <c r="G20" s="16">
        <f>'Data Collection'!F13</f>
        <v>0</v>
      </c>
      <c r="H20" s="16">
        <f>'Data Collection'!G13</f>
        <v>0</v>
      </c>
      <c r="I20" s="16">
        <f>'Data Collection'!H13</f>
        <v>1</v>
      </c>
      <c r="J20" s="16">
        <f>'Data Collection'!I13</f>
        <v>2</v>
      </c>
      <c r="K20" s="16">
        <f>'Data Collection'!J13</f>
        <v>4</v>
      </c>
      <c r="L20" s="16">
        <f>'Data Collection'!K13</f>
        <v>4</v>
      </c>
      <c r="M20" s="16">
        <f>'Data Collection'!L13</f>
        <v>26</v>
      </c>
      <c r="N20" s="16">
        <f>'Data Collection'!M13</f>
        <v>20</v>
      </c>
      <c r="O20" s="16">
        <f>'Data Collection'!N13</f>
        <v>20</v>
      </c>
    </row>
    <row r="21" spans="2:15" x14ac:dyDescent="0.3">
      <c r="B21" t="str">
        <f>'Data Collection'!B14</f>
        <v>Other liability items</v>
      </c>
      <c r="F21" s="16">
        <f>'Data Collection'!E14</f>
        <v>171</v>
      </c>
      <c r="G21" s="16">
        <f>'Data Collection'!F14</f>
        <v>140</v>
      </c>
      <c r="H21" s="16">
        <f>'Data Collection'!G14</f>
        <v>173</v>
      </c>
      <c r="I21" s="16">
        <f>'Data Collection'!H14</f>
        <v>119</v>
      </c>
      <c r="J21" s="16">
        <f>'Data Collection'!I14</f>
        <v>176</v>
      </c>
      <c r="K21" s="16">
        <f>'Data Collection'!J14</f>
        <v>180</v>
      </c>
      <c r="L21" s="16">
        <f>'Data Collection'!K14</f>
        <v>225</v>
      </c>
      <c r="M21" s="16">
        <f>'Data Collection'!L14</f>
        <v>771</v>
      </c>
      <c r="N21" s="16">
        <f>'Data Collection'!M14</f>
        <v>928</v>
      </c>
      <c r="O21" s="16">
        <f>'Data Collection'!N14</f>
        <v>1021</v>
      </c>
    </row>
    <row r="22" spans="2:15" s="2" customFormat="1" x14ac:dyDescent="0.3">
      <c r="B22" s="2" t="s">
        <v>193</v>
      </c>
      <c r="F22" s="22">
        <f>SUM(F19:F21)</f>
        <v>485</v>
      </c>
      <c r="G22" s="22">
        <f t="shared" ref="G22:O22" si="1">SUM(G19:G21)</f>
        <v>529</v>
      </c>
      <c r="H22" s="22">
        <f t="shared" si="1"/>
        <v>594</v>
      </c>
      <c r="I22" s="22">
        <f t="shared" si="1"/>
        <v>567</v>
      </c>
      <c r="J22" s="22">
        <f t="shared" si="1"/>
        <v>711</v>
      </c>
      <c r="K22" s="22">
        <f t="shared" si="1"/>
        <v>721</v>
      </c>
      <c r="L22" s="22">
        <f t="shared" si="1"/>
        <v>790</v>
      </c>
      <c r="M22" s="22">
        <f t="shared" si="1"/>
        <v>1587</v>
      </c>
      <c r="N22" s="22">
        <f t="shared" si="1"/>
        <v>1849</v>
      </c>
      <c r="O22" s="22">
        <f t="shared" si="1"/>
        <v>2077</v>
      </c>
    </row>
    <row r="24" spans="2:15" s="2" customFormat="1" ht="13.8" customHeight="1" x14ac:dyDescent="0.3">
      <c r="B24" s="2" t="s">
        <v>194</v>
      </c>
      <c r="F24" s="22">
        <f>F16-F22</f>
        <v>-184</v>
      </c>
      <c r="G24" s="22">
        <f t="shared" ref="G24:O24" si="2">G16-G22</f>
        <v>-228</v>
      </c>
      <c r="H24" s="22">
        <f t="shared" si="2"/>
        <v>-239</v>
      </c>
      <c r="I24" s="22">
        <f t="shared" si="2"/>
        <v>-133</v>
      </c>
      <c r="J24" s="22">
        <f t="shared" si="2"/>
        <v>-175</v>
      </c>
      <c r="K24" s="22">
        <f t="shared" si="2"/>
        <v>-213</v>
      </c>
      <c r="L24" s="22">
        <f t="shared" si="2"/>
        <v>-158</v>
      </c>
      <c r="M24" s="22">
        <f t="shared" si="2"/>
        <v>-316</v>
      </c>
      <c r="N24" s="22">
        <f t="shared" si="2"/>
        <v>-465</v>
      </c>
      <c r="O24" s="22">
        <f t="shared" si="2"/>
        <v>-657</v>
      </c>
    </row>
    <row r="26" spans="2:15" x14ac:dyDescent="0.3">
      <c r="B26" s="79" t="s">
        <v>195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2:15" x14ac:dyDescent="0.3">
      <c r="B27" t="str">
        <f>'Data Collection'!B17</f>
        <v>Land</v>
      </c>
      <c r="F27" s="16">
        <f>'Data Collection'!E17</f>
        <v>0</v>
      </c>
      <c r="G27" s="16">
        <f>'Data Collection'!F17</f>
        <v>0</v>
      </c>
      <c r="H27" s="16">
        <f>'Data Collection'!G17</f>
        <v>0</v>
      </c>
      <c r="I27" s="16">
        <f>'Data Collection'!H17</f>
        <v>34</v>
      </c>
      <c r="J27" s="16">
        <f>'Data Collection'!I17</f>
        <v>56</v>
      </c>
      <c r="K27" s="16">
        <f>'Data Collection'!J17</f>
        <v>112</v>
      </c>
      <c r="L27" s="16">
        <f>'Data Collection'!K17</f>
        <v>149</v>
      </c>
      <c r="M27" s="16">
        <f>'Data Collection'!L17</f>
        <v>153</v>
      </c>
      <c r="N27" s="16">
        <f>'Data Collection'!M17</f>
        <v>153</v>
      </c>
      <c r="O27" s="16">
        <f>'Data Collection'!N17</f>
        <v>154</v>
      </c>
    </row>
    <row r="28" spans="2:15" x14ac:dyDescent="0.3">
      <c r="B28" t="str">
        <f>'Data Collection'!B18</f>
        <v>Building</v>
      </c>
      <c r="F28" s="16">
        <f>'Data Collection'!E18</f>
        <v>356</v>
      </c>
      <c r="G28" s="16">
        <f>'Data Collection'!F18</f>
        <v>400</v>
      </c>
      <c r="H28" s="16">
        <f>'Data Collection'!G18</f>
        <v>432</v>
      </c>
      <c r="I28" s="16">
        <f>'Data Collection'!H18</f>
        <v>489</v>
      </c>
      <c r="J28" s="16">
        <f>'Data Collection'!I18</f>
        <v>560</v>
      </c>
      <c r="K28" s="16">
        <f>'Data Collection'!J18</f>
        <v>646</v>
      </c>
      <c r="L28" s="16">
        <f>'Data Collection'!K18</f>
        <v>835</v>
      </c>
      <c r="M28" s="16">
        <f>'Data Collection'!L18</f>
        <v>1221</v>
      </c>
      <c r="N28" s="16">
        <f>'Data Collection'!M18</f>
        <v>4992</v>
      </c>
      <c r="O28" s="16">
        <f>'Data Collection'!N18</f>
        <v>5718</v>
      </c>
    </row>
    <row r="29" spans="2:15" x14ac:dyDescent="0.3">
      <c r="B29" t="str">
        <f>'Data Collection'!B19</f>
        <v>Plant Machinery</v>
      </c>
      <c r="F29" s="16">
        <f>'Data Collection'!E19</f>
        <v>482</v>
      </c>
      <c r="G29" s="16">
        <f>'Data Collection'!F19</f>
        <v>546</v>
      </c>
      <c r="H29" s="16">
        <f>'Data Collection'!G19</f>
        <v>620</v>
      </c>
      <c r="I29" s="16">
        <f>'Data Collection'!H19</f>
        <v>719</v>
      </c>
      <c r="J29" s="16">
        <f>'Data Collection'!I19</f>
        <v>799</v>
      </c>
      <c r="K29" s="16">
        <f>'Data Collection'!J19</f>
        <v>955</v>
      </c>
      <c r="L29" s="16">
        <f>'Data Collection'!K19</f>
        <v>1145</v>
      </c>
      <c r="M29" s="16">
        <f>'Data Collection'!L19</f>
        <v>1575</v>
      </c>
      <c r="N29" s="16">
        <f>'Data Collection'!M19</f>
        <v>1715</v>
      </c>
      <c r="O29" s="16">
        <f>'Data Collection'!N19</f>
        <v>2052</v>
      </c>
    </row>
    <row r="30" spans="2:15" x14ac:dyDescent="0.3">
      <c r="B30" t="str">
        <f>'Data Collection'!B20</f>
        <v>Equipments</v>
      </c>
      <c r="F30" s="16">
        <f>'Data Collection'!E20</f>
        <v>33</v>
      </c>
      <c r="G30" s="16">
        <f>'Data Collection'!F20</f>
        <v>32</v>
      </c>
      <c r="H30" s="16">
        <f>'Data Collection'!G20</f>
        <v>34</v>
      </c>
      <c r="I30" s="16">
        <f>'Data Collection'!H20</f>
        <v>39</v>
      </c>
      <c r="J30" s="16">
        <f>'Data Collection'!I20</f>
        <v>42</v>
      </c>
      <c r="K30" s="16">
        <f>'Data Collection'!J20</f>
        <v>45</v>
      </c>
      <c r="L30" s="16">
        <f>'Data Collection'!K20</f>
        <v>0</v>
      </c>
      <c r="M30" s="16">
        <f>'Data Collection'!L20</f>
        <v>61</v>
      </c>
      <c r="N30" s="16">
        <f>'Data Collection'!M20</f>
        <v>53</v>
      </c>
      <c r="O30" s="16">
        <f>'Data Collection'!N20</f>
        <v>57</v>
      </c>
    </row>
    <row r="31" spans="2:15" x14ac:dyDescent="0.3">
      <c r="B31" t="str">
        <f>'Data Collection'!B21</f>
        <v>Furniture n fittings</v>
      </c>
      <c r="F31" s="16">
        <f>'Data Collection'!E21</f>
        <v>86</v>
      </c>
      <c r="G31" s="16">
        <f>'Data Collection'!F21</f>
        <v>0</v>
      </c>
      <c r="H31" s="16">
        <f>'Data Collection'!G21</f>
        <v>99</v>
      </c>
      <c r="I31" s="16">
        <f>'Data Collection'!H21</f>
        <v>116</v>
      </c>
      <c r="J31" s="16">
        <f>'Data Collection'!I21</f>
        <v>129</v>
      </c>
      <c r="K31" s="16">
        <f>'Data Collection'!J21</f>
        <v>146</v>
      </c>
      <c r="L31" s="16">
        <f>'Data Collection'!K21</f>
        <v>171</v>
      </c>
      <c r="M31" s="16">
        <f>'Data Collection'!L21</f>
        <v>335</v>
      </c>
      <c r="N31" s="16">
        <f>'Data Collection'!M21</f>
        <v>394</v>
      </c>
      <c r="O31" s="16">
        <f>'Data Collection'!N21</f>
        <v>472</v>
      </c>
    </row>
    <row r="32" spans="2:15" x14ac:dyDescent="0.3">
      <c r="B32" t="str">
        <f>'Data Collection'!B22</f>
        <v>Vehicles</v>
      </c>
      <c r="F32" s="16">
        <f>'Data Collection'!E22</f>
        <v>40</v>
      </c>
      <c r="G32" s="16">
        <f>'Data Collection'!F22</f>
        <v>37</v>
      </c>
      <c r="H32" s="16">
        <f>'Data Collection'!G22</f>
        <v>44</v>
      </c>
      <c r="I32" s="16">
        <f>'Data Collection'!H22</f>
        <v>60</v>
      </c>
      <c r="J32" s="16">
        <f>'Data Collection'!I22</f>
        <v>79</v>
      </c>
      <c r="K32" s="16">
        <f>'Data Collection'!J22</f>
        <v>113</v>
      </c>
      <c r="L32" s="16">
        <f>'Data Collection'!K22</f>
        <v>153</v>
      </c>
      <c r="M32" s="16">
        <f>'Data Collection'!L22</f>
        <v>252</v>
      </c>
      <c r="N32" s="16">
        <f>'Data Collection'!M22</f>
        <v>361</v>
      </c>
      <c r="O32" s="16">
        <f>'Data Collection'!N22</f>
        <v>497</v>
      </c>
    </row>
    <row r="33" spans="1:15" x14ac:dyDescent="0.3">
      <c r="B33" t="str">
        <f>'Data Collection'!B23</f>
        <v>Intangible Assets</v>
      </c>
      <c r="F33" s="16">
        <f>'Data Collection'!E23</f>
        <v>0</v>
      </c>
      <c r="G33" s="16">
        <f>'Data Collection'!F23</f>
        <v>0</v>
      </c>
      <c r="H33" s="16">
        <f>'Data Collection'!G23</f>
        <v>0</v>
      </c>
      <c r="I33" s="16">
        <f>'Data Collection'!H23</f>
        <v>0</v>
      </c>
      <c r="J33" s="16">
        <f>'Data Collection'!I23</f>
        <v>0</v>
      </c>
      <c r="K33" s="16">
        <f>'Data Collection'!J23</f>
        <v>0</v>
      </c>
      <c r="L33" s="16">
        <f>'Data Collection'!K23</f>
        <v>0</v>
      </c>
      <c r="M33" s="16">
        <f>'Data Collection'!L23</f>
        <v>1742</v>
      </c>
      <c r="N33" s="16">
        <f>'Data Collection'!M23</f>
        <v>1677</v>
      </c>
      <c r="O33" s="16">
        <f>'Data Collection'!N23</f>
        <v>1807</v>
      </c>
    </row>
    <row r="34" spans="1:15" x14ac:dyDescent="0.3">
      <c r="B34" t="str">
        <f>'Data Collection'!B24</f>
        <v>Other fixed assets</v>
      </c>
      <c r="F34" s="16">
        <f>'Data Collection'!E24</f>
        <v>53</v>
      </c>
      <c r="G34" s="16">
        <f>'Data Collection'!F24</f>
        <v>68</v>
      </c>
      <c r="H34" s="16">
        <f>'Data Collection'!G24</f>
        <v>81</v>
      </c>
      <c r="I34" s="16">
        <f>'Data Collection'!H24</f>
        <v>2294</v>
      </c>
      <c r="J34" s="16">
        <f>'Data Collection'!I24</f>
        <v>2229</v>
      </c>
      <c r="K34" s="16">
        <f>'Data Collection'!J24</f>
        <v>2644</v>
      </c>
      <c r="L34" s="16">
        <f>'Data Collection'!K24</f>
        <v>3190</v>
      </c>
      <c r="M34" s="16">
        <f>'Data Collection'!L24</f>
        <v>3906</v>
      </c>
      <c r="N34" s="16">
        <f>'Data Collection'!M24</f>
        <v>687</v>
      </c>
      <c r="O34" s="16">
        <f>'Data Collection'!N24</f>
        <v>981</v>
      </c>
    </row>
    <row r="35" spans="1:15" s="2" customFormat="1" x14ac:dyDescent="0.3">
      <c r="B35" s="2" t="s">
        <v>183</v>
      </c>
      <c r="F35" s="22">
        <f>SUM(F27:F34)</f>
        <v>1050</v>
      </c>
      <c r="G35" s="22">
        <f t="shared" ref="G35:O35" si="3">SUM(G27:G34)</f>
        <v>1083</v>
      </c>
      <c r="H35" s="22">
        <f t="shared" si="3"/>
        <v>1310</v>
      </c>
      <c r="I35" s="22">
        <f t="shared" si="3"/>
        <v>3751</v>
      </c>
      <c r="J35" s="22">
        <f t="shared" si="3"/>
        <v>3894</v>
      </c>
      <c r="K35" s="22">
        <f t="shared" si="3"/>
        <v>4661</v>
      </c>
      <c r="L35" s="22">
        <f t="shared" si="3"/>
        <v>5643</v>
      </c>
      <c r="M35" s="22">
        <f t="shared" si="3"/>
        <v>9245</v>
      </c>
      <c r="N35" s="22">
        <f t="shared" si="3"/>
        <v>10032</v>
      </c>
      <c r="O35" s="22">
        <f t="shared" si="3"/>
        <v>11738</v>
      </c>
    </row>
    <row r="36" spans="1:15" x14ac:dyDescent="0.3">
      <c r="B36" t="s">
        <v>184</v>
      </c>
      <c r="F36" s="16">
        <f>'Data Collection'!E26</f>
        <v>250</v>
      </c>
      <c r="G36" s="16">
        <f>'Data Collection'!F26</f>
        <v>384</v>
      </c>
      <c r="H36" s="16">
        <f>'Data Collection'!G26</f>
        <v>501</v>
      </c>
      <c r="I36" s="16">
        <f>'Data Collection'!H26</f>
        <v>1562</v>
      </c>
      <c r="J36" s="16">
        <f>'Data Collection'!I26</f>
        <v>1750</v>
      </c>
      <c r="K36" s="16">
        <f>'Data Collection'!J26</f>
        <v>1924</v>
      </c>
      <c r="L36" s="16">
        <f>'Data Collection'!K26</f>
        <v>2214</v>
      </c>
      <c r="M36" s="16">
        <f>'Data Collection'!L26</f>
        <v>3061</v>
      </c>
      <c r="N36" s="16">
        <f>'Data Collection'!M26</f>
        <v>3598</v>
      </c>
      <c r="O36" s="16">
        <f>'Data Collection'!N26</f>
        <v>4384</v>
      </c>
    </row>
    <row r="37" spans="1:15" s="2" customFormat="1" ht="15" thickBot="1" x14ac:dyDescent="0.35">
      <c r="B37" s="80" t="s">
        <v>196</v>
      </c>
      <c r="C37" s="80"/>
      <c r="D37" s="80"/>
      <c r="E37" s="80"/>
      <c r="F37" s="81">
        <f>F35-F36</f>
        <v>800</v>
      </c>
      <c r="G37" s="81">
        <f t="shared" ref="G37:O37" si="4">G35-G36</f>
        <v>699</v>
      </c>
      <c r="H37" s="81">
        <f t="shared" si="4"/>
        <v>809</v>
      </c>
      <c r="I37" s="81">
        <f t="shared" si="4"/>
        <v>2189</v>
      </c>
      <c r="J37" s="81">
        <f t="shared" si="4"/>
        <v>2144</v>
      </c>
      <c r="K37" s="81">
        <f t="shared" si="4"/>
        <v>2737</v>
      </c>
      <c r="L37" s="81">
        <f t="shared" si="4"/>
        <v>3429</v>
      </c>
      <c r="M37" s="81">
        <f t="shared" si="4"/>
        <v>6184</v>
      </c>
      <c r="N37" s="81">
        <f t="shared" si="4"/>
        <v>6434</v>
      </c>
      <c r="O37" s="81">
        <f t="shared" si="4"/>
        <v>7354</v>
      </c>
    </row>
    <row r="38" spans="1:15" ht="15" thickTop="1" x14ac:dyDescent="0.3"/>
    <row r="39" spans="1:15" x14ac:dyDescent="0.3">
      <c r="B39" s="2" t="s">
        <v>197</v>
      </c>
      <c r="F39" s="18">
        <f>F24+F37</f>
        <v>616</v>
      </c>
      <c r="G39" s="18">
        <f t="shared" ref="G39:O39" si="5">G24+G37</f>
        <v>471</v>
      </c>
      <c r="H39" s="18">
        <f t="shared" si="5"/>
        <v>570</v>
      </c>
      <c r="I39" s="18">
        <f t="shared" si="5"/>
        <v>2056</v>
      </c>
      <c r="J39" s="18">
        <f t="shared" si="5"/>
        <v>1969</v>
      </c>
      <c r="K39" s="18">
        <f t="shared" si="5"/>
        <v>2524</v>
      </c>
      <c r="L39" s="18">
        <f t="shared" si="5"/>
        <v>3271</v>
      </c>
      <c r="M39" s="18">
        <f t="shared" si="5"/>
        <v>5868</v>
      </c>
      <c r="N39" s="18">
        <f t="shared" si="5"/>
        <v>5969</v>
      </c>
      <c r="O39" s="18">
        <f t="shared" si="5"/>
        <v>6697</v>
      </c>
    </row>
    <row r="41" spans="1:15" x14ac:dyDescent="0.3">
      <c r="B41" s="82" t="s">
        <v>198</v>
      </c>
      <c r="C41" s="12"/>
      <c r="D41" s="12"/>
      <c r="E41" s="12"/>
      <c r="F41" s="13">
        <f>F9</f>
        <v>42825</v>
      </c>
      <c r="G41" s="13">
        <f t="shared" ref="G41:O41" si="6">G9</f>
        <v>43190</v>
      </c>
      <c r="H41" s="13">
        <f t="shared" si="6"/>
        <v>43555</v>
      </c>
      <c r="I41" s="13">
        <f t="shared" si="6"/>
        <v>43921</v>
      </c>
      <c r="J41" s="13">
        <f t="shared" si="6"/>
        <v>44286</v>
      </c>
      <c r="K41" s="13">
        <f t="shared" si="6"/>
        <v>44651</v>
      </c>
      <c r="L41" s="13">
        <f t="shared" si="6"/>
        <v>45016</v>
      </c>
      <c r="M41" s="13">
        <f t="shared" si="6"/>
        <v>45382</v>
      </c>
      <c r="N41" s="13">
        <f t="shared" si="6"/>
        <v>45747</v>
      </c>
      <c r="O41" s="13">
        <f t="shared" si="6"/>
        <v>46112</v>
      </c>
    </row>
    <row r="42" spans="1:15" x14ac:dyDescent="0.3">
      <c r="B42" t="s">
        <v>199</v>
      </c>
      <c r="F42" s="16">
        <f>'Historical Financial Statment'!E25-'Historical Financial Statment'!E31</f>
        <v>719.90999999999985</v>
      </c>
      <c r="G42" s="16">
        <f>'Historical Financial Statment'!F25-'Historical Financial Statment'!F31</f>
        <v>1047.8499999999999</v>
      </c>
      <c r="H42" s="16">
        <f>'Historical Financial Statment'!G25-'Historical Financial Statment'!G31</f>
        <v>1331.28</v>
      </c>
      <c r="I42" s="16">
        <f>'Historical Financial Statment'!H25-'Historical Financial Statment'!H31</f>
        <v>1513.91</v>
      </c>
      <c r="J42" s="16">
        <f>'Historical Financial Statment'!I25-'Historical Financial Statment'!I31</f>
        <v>1392.7799999999997</v>
      </c>
      <c r="K42" s="16">
        <f>'Historical Financial Statment'!J25-'Historical Financial Statment'!J31</f>
        <v>1703.2100000000003</v>
      </c>
      <c r="L42" s="16">
        <f>'Historical Financial Statment'!K25-'Historical Financial Statment'!K31</f>
        <v>1897.87</v>
      </c>
      <c r="M42" s="16">
        <f>'Historical Financial Statment'!L25-'Historical Financial Statment'!L31</f>
        <v>1902.4800000000005</v>
      </c>
      <c r="N42" s="16">
        <f>'Historical Financial Statment'!M25-'Historical Financial Statment'!M31</f>
        <v>3056.31</v>
      </c>
      <c r="O42" s="16">
        <f>'Historical Financial Statment'!N25-'Historical Financial Statment'!N31</f>
        <v>4059.3200000000006</v>
      </c>
    </row>
    <row r="43" spans="1:15" x14ac:dyDescent="0.3">
      <c r="B43" t="s">
        <v>115</v>
      </c>
      <c r="F43" s="17">
        <f>WACC!$G$21</f>
        <v>0.3</v>
      </c>
      <c r="G43" s="17">
        <f>WACC!$G$21</f>
        <v>0.3</v>
      </c>
      <c r="H43" s="17">
        <f>WACC!$G$21</f>
        <v>0.3</v>
      </c>
      <c r="I43" s="17">
        <f>WACC!$G$21</f>
        <v>0.3</v>
      </c>
      <c r="J43" s="17">
        <f>WACC!$G$21</f>
        <v>0.3</v>
      </c>
      <c r="K43" s="17">
        <f>WACC!$G$21</f>
        <v>0.3</v>
      </c>
      <c r="L43" s="17">
        <f>WACC!$G$21</f>
        <v>0.3</v>
      </c>
      <c r="M43" s="17">
        <f>WACC!$G$21</f>
        <v>0.3</v>
      </c>
      <c r="N43" s="17">
        <f>WACC!$G$21</f>
        <v>0.3</v>
      </c>
      <c r="O43" s="17">
        <f>WACC!$G$21</f>
        <v>0.3</v>
      </c>
    </row>
    <row r="44" spans="1:15" s="2" customFormat="1" ht="15" thickBot="1" x14ac:dyDescent="0.35">
      <c r="B44" s="80" t="s">
        <v>200</v>
      </c>
      <c r="C44" s="80"/>
      <c r="D44" s="80"/>
      <c r="E44" s="80"/>
      <c r="F44" s="81">
        <f>F42*(1-F43)</f>
        <v>503.93699999999984</v>
      </c>
      <c r="G44" s="81">
        <f t="shared" ref="G44:O44" si="7">G42*(1-G43)</f>
        <v>733.49499999999989</v>
      </c>
      <c r="H44" s="81">
        <f t="shared" si="7"/>
        <v>931.89599999999996</v>
      </c>
      <c r="I44" s="81">
        <f t="shared" si="7"/>
        <v>1059.7370000000001</v>
      </c>
      <c r="J44" s="81">
        <f t="shared" si="7"/>
        <v>974.9459999999998</v>
      </c>
      <c r="K44" s="81">
        <f t="shared" si="7"/>
        <v>1192.2470000000001</v>
      </c>
      <c r="L44" s="81">
        <f t="shared" si="7"/>
        <v>1328.5089999999998</v>
      </c>
      <c r="M44" s="81">
        <f t="shared" si="7"/>
        <v>1331.7360000000003</v>
      </c>
      <c r="N44" s="81">
        <f t="shared" si="7"/>
        <v>2139.4169999999999</v>
      </c>
      <c r="O44" s="81">
        <f t="shared" si="7"/>
        <v>2841.5240000000003</v>
      </c>
    </row>
    <row r="45" spans="1:15" ht="15" thickTop="1" x14ac:dyDescent="0.3"/>
    <row r="46" spans="1:15" s="2" customFormat="1" ht="15" thickBot="1" x14ac:dyDescent="0.35">
      <c r="A46" s="2" t="s">
        <v>58</v>
      </c>
      <c r="B46" s="80" t="s">
        <v>201</v>
      </c>
      <c r="C46" s="80"/>
      <c r="D46" s="80"/>
      <c r="E46" s="80"/>
      <c r="F46" s="83">
        <f>F44/F39</f>
        <v>0.8180795454545452</v>
      </c>
      <c r="G46" s="83">
        <f t="shared" ref="G46:O46" si="8">G44/G39</f>
        <v>1.5573142250530783</v>
      </c>
      <c r="H46" s="83">
        <f t="shared" si="8"/>
        <v>1.6349052631578946</v>
      </c>
      <c r="I46" s="83">
        <f t="shared" si="8"/>
        <v>0.51543628404669262</v>
      </c>
      <c r="J46" s="83">
        <f t="shared" si="8"/>
        <v>0.49514779075672921</v>
      </c>
      <c r="K46" s="83">
        <f t="shared" si="8"/>
        <v>0.47236410459587957</v>
      </c>
      <c r="L46" s="83">
        <f t="shared" si="8"/>
        <v>0.40614766126566793</v>
      </c>
      <c r="M46" s="83">
        <f t="shared" si="8"/>
        <v>0.22694887525562377</v>
      </c>
      <c r="N46" s="83">
        <f t="shared" si="8"/>
        <v>0.35842134360864464</v>
      </c>
      <c r="O46" s="83">
        <f t="shared" si="8"/>
        <v>0.42429804390025389</v>
      </c>
    </row>
    <row r="47" spans="1:15" ht="15" thickTop="1" x14ac:dyDescent="0.3"/>
    <row r="49" spans="1:15" x14ac:dyDescent="0.3">
      <c r="B49" s="82" t="s">
        <v>202</v>
      </c>
      <c r="C49" s="82"/>
      <c r="D49" s="82"/>
      <c r="E49" s="82"/>
      <c r="F49" s="84">
        <f>F41</f>
        <v>42825</v>
      </c>
      <c r="G49" s="84">
        <f t="shared" ref="G49:O49" si="9">G41</f>
        <v>43190</v>
      </c>
      <c r="H49" s="84">
        <f t="shared" si="9"/>
        <v>43555</v>
      </c>
      <c r="I49" s="84">
        <f t="shared" si="9"/>
        <v>43921</v>
      </c>
      <c r="J49" s="84">
        <f t="shared" si="9"/>
        <v>44286</v>
      </c>
      <c r="K49" s="84">
        <f t="shared" si="9"/>
        <v>44651</v>
      </c>
      <c r="L49" s="84">
        <f t="shared" si="9"/>
        <v>45016</v>
      </c>
      <c r="M49" s="84">
        <f t="shared" si="9"/>
        <v>45382</v>
      </c>
      <c r="N49" s="84">
        <f t="shared" si="9"/>
        <v>45747</v>
      </c>
      <c r="O49" s="84">
        <f t="shared" si="9"/>
        <v>46112</v>
      </c>
    </row>
    <row r="51" spans="1:15" x14ac:dyDescent="0.3">
      <c r="B51" t="s">
        <v>203</v>
      </c>
      <c r="F51" s="16">
        <f>-('Historical Financial Statment'!E86+'Historical Financial Statment'!E87)</f>
        <v>200</v>
      </c>
      <c r="G51" s="16">
        <f>-('Historical Financial Statment'!F86+'Historical Financial Statment'!F87)</f>
        <v>116</v>
      </c>
      <c r="H51" s="16">
        <f>-('Historical Financial Statment'!G86+'Historical Financial Statment'!G87)</f>
        <v>166</v>
      </c>
      <c r="I51" s="16">
        <f>-('Historical Financial Statment'!H86+'Historical Financial Statment'!H87)</f>
        <v>288</v>
      </c>
      <c r="J51" s="16">
        <f>-('Historical Financial Statment'!I86+'Historical Financial Statment'!I87)</f>
        <v>218</v>
      </c>
      <c r="K51" s="16">
        <f>-('Historical Financial Statment'!J86+'Historical Financial Statment'!J87)</f>
        <v>456</v>
      </c>
      <c r="L51" s="16">
        <f>-('Historical Financial Statment'!K86+'Historical Financial Statment'!K87)</f>
        <v>838</v>
      </c>
      <c r="M51" s="16">
        <f>-('Historical Financial Statment'!L86+'Historical Financial Statment'!L87)</f>
        <v>848</v>
      </c>
      <c r="N51" s="16">
        <f>-('Historical Financial Statment'!M86+'Historical Financial Statment'!M87)</f>
        <v>871</v>
      </c>
      <c r="O51" s="16">
        <f>-('Historical Financial Statment'!N86+'Historical Financial Statment'!N87)</f>
        <v>1005</v>
      </c>
    </row>
    <row r="52" spans="1:15" x14ac:dyDescent="0.3">
      <c r="B52" t="s">
        <v>204</v>
      </c>
      <c r="F52" s="85">
        <v>0</v>
      </c>
      <c r="G52" s="16">
        <f>G24-F24</f>
        <v>-44</v>
      </c>
      <c r="H52" s="16">
        <f t="shared" ref="H52:O52" si="10">H24-G24</f>
        <v>-11</v>
      </c>
      <c r="I52" s="16">
        <f t="shared" si="10"/>
        <v>106</v>
      </c>
      <c r="J52" s="16">
        <f t="shared" si="10"/>
        <v>-42</v>
      </c>
      <c r="K52" s="16">
        <f t="shared" si="10"/>
        <v>-38</v>
      </c>
      <c r="L52" s="16">
        <f t="shared" si="10"/>
        <v>55</v>
      </c>
      <c r="M52" s="16">
        <f t="shared" si="10"/>
        <v>-158</v>
      </c>
      <c r="N52" s="16">
        <f t="shared" si="10"/>
        <v>-149</v>
      </c>
      <c r="O52" s="16">
        <f t="shared" si="10"/>
        <v>-192</v>
      </c>
    </row>
    <row r="53" spans="1:15" x14ac:dyDescent="0.3">
      <c r="B53" t="s">
        <v>206</v>
      </c>
      <c r="F53" s="85">
        <f>F51+F52</f>
        <v>200</v>
      </c>
      <c r="G53" s="85">
        <f t="shared" ref="G53:O53" si="11">G51+G52</f>
        <v>72</v>
      </c>
      <c r="H53" s="85">
        <f t="shared" si="11"/>
        <v>155</v>
      </c>
      <c r="I53" s="85">
        <f t="shared" si="11"/>
        <v>394</v>
      </c>
      <c r="J53" s="85">
        <f t="shared" si="11"/>
        <v>176</v>
      </c>
      <c r="K53" s="85">
        <f t="shared" si="11"/>
        <v>418</v>
      </c>
      <c r="L53" s="85">
        <f t="shared" si="11"/>
        <v>893</v>
      </c>
      <c r="M53" s="85">
        <f t="shared" si="11"/>
        <v>690</v>
      </c>
      <c r="N53" s="85">
        <f t="shared" si="11"/>
        <v>722</v>
      </c>
      <c r="O53" s="85">
        <f t="shared" si="11"/>
        <v>813</v>
      </c>
    </row>
    <row r="54" spans="1:15" ht="15" thickBot="1" x14ac:dyDescent="0.35">
      <c r="B54" s="80" t="s">
        <v>206</v>
      </c>
      <c r="C54" s="80"/>
      <c r="D54" s="80"/>
      <c r="E54" s="80"/>
      <c r="F54" s="83">
        <f>F53/F44</f>
        <v>0.39687500620117211</v>
      </c>
      <c r="G54" s="83">
        <f t="shared" ref="G54:O54" si="12">G53/G44</f>
        <v>9.8160178324323971E-2</v>
      </c>
      <c r="H54" s="83">
        <f t="shared" si="12"/>
        <v>0.16632757303390078</v>
      </c>
      <c r="I54" s="83">
        <f t="shared" si="12"/>
        <v>0.37179035930612969</v>
      </c>
      <c r="J54" s="83">
        <f t="shared" si="12"/>
        <v>0.18052281869970238</v>
      </c>
      <c r="K54" s="83">
        <f t="shared" si="12"/>
        <v>0.35059849175548352</v>
      </c>
      <c r="L54" s="83">
        <f t="shared" si="12"/>
        <v>0.67218212296642332</v>
      </c>
      <c r="M54" s="83">
        <f t="shared" si="12"/>
        <v>0.51812070860891335</v>
      </c>
      <c r="N54" s="83">
        <f t="shared" si="12"/>
        <v>0.33747511588437412</v>
      </c>
      <c r="O54" s="83">
        <f t="shared" si="12"/>
        <v>0.28611407118152088</v>
      </c>
    </row>
    <row r="55" spans="1:15" s="2" customFormat="1" ht="15" thickTop="1" x14ac:dyDescent="0.3">
      <c r="A55" s="2" t="s">
        <v>58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x14ac:dyDescent="0.3">
      <c r="B56" s="82" t="s">
        <v>205</v>
      </c>
      <c r="C56" s="82"/>
      <c r="D56" s="82"/>
      <c r="E56" s="82"/>
      <c r="F56" s="84">
        <f>F49</f>
        <v>42825</v>
      </c>
      <c r="G56" s="84">
        <f t="shared" ref="G56:O56" si="13">G49</f>
        <v>43190</v>
      </c>
      <c r="H56" s="84">
        <f t="shared" si="13"/>
        <v>43555</v>
      </c>
      <c r="I56" s="84">
        <f t="shared" si="13"/>
        <v>43921</v>
      </c>
      <c r="J56" s="84">
        <f t="shared" si="13"/>
        <v>44286</v>
      </c>
      <c r="K56" s="84">
        <f t="shared" si="13"/>
        <v>44651</v>
      </c>
      <c r="L56" s="84">
        <f t="shared" si="13"/>
        <v>45016</v>
      </c>
      <c r="M56" s="84">
        <f t="shared" si="13"/>
        <v>45382</v>
      </c>
      <c r="N56" s="84">
        <f t="shared" si="13"/>
        <v>45747</v>
      </c>
      <c r="O56" s="84">
        <f t="shared" si="13"/>
        <v>46112</v>
      </c>
    </row>
    <row r="58" spans="1:15" x14ac:dyDescent="0.3">
      <c r="B58" t="str">
        <f>B46</f>
        <v>ROIC</v>
      </c>
      <c r="F58" s="4">
        <f>F46</f>
        <v>0.8180795454545452</v>
      </c>
      <c r="G58" s="4">
        <f t="shared" ref="G58:O58" si="14">G46</f>
        <v>1.5573142250530783</v>
      </c>
      <c r="H58" s="4">
        <f t="shared" si="14"/>
        <v>1.6349052631578946</v>
      </c>
      <c r="I58" s="4">
        <f t="shared" si="14"/>
        <v>0.51543628404669262</v>
      </c>
      <c r="J58" s="4">
        <f t="shared" si="14"/>
        <v>0.49514779075672921</v>
      </c>
      <c r="K58" s="4">
        <f t="shared" si="14"/>
        <v>0.47236410459587957</v>
      </c>
      <c r="L58" s="4">
        <f t="shared" si="14"/>
        <v>0.40614766126566793</v>
      </c>
      <c r="M58" s="4">
        <f t="shared" si="14"/>
        <v>0.22694887525562377</v>
      </c>
      <c r="N58" s="4">
        <f t="shared" si="14"/>
        <v>0.35842134360864464</v>
      </c>
      <c r="O58" s="4">
        <f t="shared" si="14"/>
        <v>0.42429804390025389</v>
      </c>
    </row>
    <row r="59" spans="1:15" x14ac:dyDescent="0.3">
      <c r="B59" t="str">
        <f>B54</f>
        <v>Reinvestment Rate</v>
      </c>
      <c r="F59" s="4">
        <f>F54</f>
        <v>0.39687500620117211</v>
      </c>
      <c r="G59" s="4">
        <f t="shared" ref="G59:O59" si="15">G54</f>
        <v>9.8160178324323971E-2</v>
      </c>
      <c r="H59" s="4">
        <f t="shared" si="15"/>
        <v>0.16632757303390078</v>
      </c>
      <c r="I59" s="4">
        <f t="shared" si="15"/>
        <v>0.37179035930612969</v>
      </c>
      <c r="J59" s="4">
        <f t="shared" si="15"/>
        <v>0.18052281869970238</v>
      </c>
      <c r="K59" s="4">
        <f t="shared" si="15"/>
        <v>0.35059849175548352</v>
      </c>
      <c r="L59" s="4">
        <f t="shared" si="15"/>
        <v>0.67218212296642332</v>
      </c>
      <c r="M59" s="4">
        <f t="shared" si="15"/>
        <v>0.51812070860891335</v>
      </c>
      <c r="N59" s="4">
        <f t="shared" si="15"/>
        <v>0.33747511588437412</v>
      </c>
      <c r="O59" s="4">
        <f t="shared" si="15"/>
        <v>0.28611407118152088</v>
      </c>
    </row>
    <row r="60" spans="1:15" s="2" customFormat="1" ht="15" thickBot="1" x14ac:dyDescent="0.35">
      <c r="B60" s="80" t="s">
        <v>207</v>
      </c>
      <c r="C60" s="80"/>
      <c r="D60" s="80"/>
      <c r="E60" s="80"/>
      <c r="F60" s="83">
        <f>F58*F59</f>
        <v>0.32467532467532467</v>
      </c>
      <c r="G60" s="83">
        <f t="shared" ref="G60:O60" si="16">G58*G59</f>
        <v>0.15286624203821655</v>
      </c>
      <c r="H60" s="83">
        <f t="shared" si="16"/>
        <v>0.27192982456140347</v>
      </c>
      <c r="I60" s="83">
        <f t="shared" si="16"/>
        <v>0.19163424124513617</v>
      </c>
      <c r="J60" s="83">
        <f t="shared" si="16"/>
        <v>8.9385474860335198E-2</v>
      </c>
      <c r="K60" s="83">
        <f t="shared" si="16"/>
        <v>0.16561014263074483</v>
      </c>
      <c r="L60" s="83">
        <f t="shared" si="16"/>
        <v>0.27300519718740446</v>
      </c>
      <c r="M60" s="83">
        <f t="shared" si="16"/>
        <v>0.11758691206543967</v>
      </c>
      <c r="N60" s="83">
        <f t="shared" si="16"/>
        <v>0.12095828446976042</v>
      </c>
      <c r="O60" s="83">
        <f t="shared" si="16"/>
        <v>0.12139764073465731</v>
      </c>
    </row>
    <row r="61" spans="1:15" ht="15" thickTop="1" x14ac:dyDescent="0.3"/>
    <row r="62" spans="1:15" x14ac:dyDescent="0.3">
      <c r="M62" s="86" t="s">
        <v>208</v>
      </c>
      <c r="N62" s="86"/>
      <c r="O62" s="87">
        <f>AVERAGE(K60:O60)</f>
        <v>0.15971163541760133</v>
      </c>
    </row>
    <row r="63" spans="1:15" x14ac:dyDescent="0.3">
      <c r="M63" s="79" t="s">
        <v>209</v>
      </c>
      <c r="N63" s="79"/>
      <c r="O63" s="88">
        <f>MEDIAN(K60:O60)</f>
        <v>0.12139764073465731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2134-FB32-42DA-813E-8195453F4008}">
  <sheetPr>
    <tabColor rgb="FF99FF66"/>
  </sheetPr>
  <dimension ref="B2:K45"/>
  <sheetViews>
    <sheetView showGridLines="0" topLeftCell="B5" workbookViewId="0">
      <selection activeCell="M16" sqref="M16"/>
    </sheetView>
  </sheetViews>
  <sheetFormatPr defaultRowHeight="14.4" x14ac:dyDescent="0.3"/>
  <cols>
    <col min="1" max="1" width="1.88671875" customWidth="1"/>
    <col min="3" max="3" width="10.88671875" customWidth="1"/>
    <col min="4" max="4" width="10" customWidth="1"/>
  </cols>
  <sheetData>
    <row r="2" spans="2:11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x14ac:dyDescent="0.3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</row>
    <row r="9" spans="2:11" x14ac:dyDescent="0.3">
      <c r="B9" s="12" t="s">
        <v>210</v>
      </c>
      <c r="C9" s="12"/>
      <c r="D9" s="12"/>
      <c r="E9" s="12"/>
      <c r="F9" s="89">
        <f>'Data Collection'!N2</f>
        <v>46082</v>
      </c>
      <c r="G9" s="90">
        <f>F9+365</f>
        <v>46447</v>
      </c>
      <c r="H9" s="90">
        <f>G9+366</f>
        <v>46813</v>
      </c>
      <c r="I9" s="90">
        <f t="shared" ref="I9:K9" si="0">H9+366</f>
        <v>47179</v>
      </c>
      <c r="J9" s="90">
        <f t="shared" si="0"/>
        <v>47545</v>
      </c>
      <c r="K9" s="90">
        <f t="shared" si="0"/>
        <v>47911</v>
      </c>
    </row>
    <row r="11" spans="2:11" x14ac:dyDescent="0.3">
      <c r="B11" t="s">
        <v>200</v>
      </c>
      <c r="F11" s="91">
        <f>'Growth Rate'!$O$44</f>
        <v>2841.5240000000003</v>
      </c>
      <c r="G11">
        <f>F11*(1+$D$18)</f>
        <v>3186.4783096909068</v>
      </c>
      <c r="H11">
        <f t="shared" ref="H11:K11" si="1">G11*(1+$D$18)</f>
        <v>3573.3092587395417</v>
      </c>
      <c r="I11">
        <f t="shared" si="1"/>
        <v>4007.1005723658291</v>
      </c>
      <c r="J11">
        <f t="shared" si="1"/>
        <v>4493.5531280375353</v>
      </c>
      <c r="K11">
        <f t="shared" si="1"/>
        <v>5039.0598762971313</v>
      </c>
    </row>
    <row r="12" spans="2:11" x14ac:dyDescent="0.3">
      <c r="B12" t="s">
        <v>211</v>
      </c>
      <c r="F12" s="92">
        <f>'Growth Rate'!$O$54</f>
        <v>0.28611407118152088</v>
      </c>
    </row>
    <row r="13" spans="2:11" x14ac:dyDescent="0.3">
      <c r="B13" t="s">
        <v>212</v>
      </c>
      <c r="F13" s="93">
        <f>F11*(1-F12)</f>
        <v>2028.5240000000003</v>
      </c>
      <c r="G13">
        <f t="shared" ref="G13:K13" si="2">G11*(1-G12)</f>
        <v>3186.4783096909068</v>
      </c>
      <c r="H13">
        <f t="shared" si="2"/>
        <v>3573.3092587395417</v>
      </c>
      <c r="I13">
        <f t="shared" si="2"/>
        <v>4007.1005723658291</v>
      </c>
      <c r="J13">
        <f t="shared" si="2"/>
        <v>4493.5531280375353</v>
      </c>
      <c r="K13">
        <f t="shared" si="2"/>
        <v>5039.0598762971313</v>
      </c>
    </row>
    <row r="14" spans="2:11" x14ac:dyDescent="0.3">
      <c r="B14" t="s">
        <v>213</v>
      </c>
      <c r="F14" s="93"/>
      <c r="G14" s="59">
        <v>0.5</v>
      </c>
      <c r="H14">
        <f>G14+1</f>
        <v>1.5</v>
      </c>
      <c r="I14">
        <f t="shared" ref="I14:K14" si="3">H14+1</f>
        <v>2.5</v>
      </c>
      <c r="J14">
        <f t="shared" si="3"/>
        <v>3.5</v>
      </c>
      <c r="K14">
        <f t="shared" si="3"/>
        <v>4.5</v>
      </c>
    </row>
    <row r="15" spans="2:11" x14ac:dyDescent="0.3">
      <c r="B15" t="s">
        <v>214</v>
      </c>
      <c r="F15" s="93">
        <f>1/(1+$D$19)^F14</f>
        <v>1</v>
      </c>
      <c r="G15" s="60">
        <f t="shared" ref="G15:K15" si="4">1/(1+$D$19)^G14</f>
        <v>0.95270060884832919</v>
      </c>
      <c r="H15" s="60">
        <f t="shared" si="4"/>
        <v>0.86470770402440211</v>
      </c>
      <c r="I15" s="60">
        <f t="shared" si="4"/>
        <v>0.78484196027021835</v>
      </c>
      <c r="J15" s="60">
        <f t="shared" si="4"/>
        <v>0.71235274039308882</v>
      </c>
      <c r="K15" s="60">
        <f t="shared" si="4"/>
        <v>0.64655873721485468</v>
      </c>
    </row>
    <row r="16" spans="2:11" s="2" customFormat="1" ht="15" thickBot="1" x14ac:dyDescent="0.35">
      <c r="B16" s="80" t="s">
        <v>215</v>
      </c>
      <c r="C16" s="80"/>
      <c r="D16" s="80"/>
      <c r="E16" s="80"/>
      <c r="F16" s="80"/>
      <c r="G16" s="80">
        <f>G13*G15</f>
        <v>3035.7598257245218</v>
      </c>
      <c r="H16" s="80">
        <f t="shared" ref="H16:K16" si="5">H13*H15</f>
        <v>3089.8680448938076</v>
      </c>
      <c r="I16" s="80">
        <f t="shared" si="5"/>
        <v>3144.9406682155113</v>
      </c>
      <c r="J16" s="80">
        <f t="shared" si="5"/>
        <v>3200.9948848594745</v>
      </c>
      <c r="K16" s="80">
        <f t="shared" si="5"/>
        <v>3258.048190368715</v>
      </c>
    </row>
    <row r="17" spans="2:10" ht="15" thickTop="1" x14ac:dyDescent="0.3"/>
    <row r="18" spans="2:10" x14ac:dyDescent="0.3">
      <c r="B18" t="s">
        <v>216</v>
      </c>
      <c r="D18" s="4">
        <f>'Growth Rate'!O63</f>
        <v>0.12139764073465731</v>
      </c>
    </row>
    <row r="19" spans="2:10" x14ac:dyDescent="0.3">
      <c r="B19" t="s">
        <v>217</v>
      </c>
      <c r="D19" s="4">
        <f>WACC!$L$45</f>
        <v>0.10176028779945255</v>
      </c>
    </row>
    <row r="20" spans="2:10" x14ac:dyDescent="0.3">
      <c r="B20" t="s">
        <v>218</v>
      </c>
      <c r="D20" s="58">
        <v>5.5E-2</v>
      </c>
    </row>
    <row r="22" spans="2:10" x14ac:dyDescent="0.3">
      <c r="B22" s="12" t="s">
        <v>219</v>
      </c>
      <c r="C22" s="12"/>
      <c r="D22" s="12"/>
      <c r="F22" s="104" t="s">
        <v>232</v>
      </c>
      <c r="G22" s="104"/>
      <c r="H22" s="104"/>
      <c r="I22" s="104"/>
      <c r="J22" s="104"/>
    </row>
    <row r="23" spans="2:10" x14ac:dyDescent="0.3">
      <c r="B23" t="s">
        <v>220</v>
      </c>
      <c r="D23" s="16">
        <f>K11*(1+D18)</f>
        <v>5650.7898568002774</v>
      </c>
      <c r="F23" s="95">
        <f>D41</f>
        <v>1399.704078300929</v>
      </c>
      <c r="G23" s="58">
        <v>0.1</v>
      </c>
      <c r="H23" s="58">
        <v>0.1018</v>
      </c>
      <c r="I23" s="58">
        <v>0.12</v>
      </c>
      <c r="J23" s="58">
        <v>0.13</v>
      </c>
    </row>
    <row r="24" spans="2:10" x14ac:dyDescent="0.3">
      <c r="B24" t="s">
        <v>217</v>
      </c>
      <c r="D24" s="4">
        <f>D19</f>
        <v>0.10176028779945255</v>
      </c>
      <c r="F24" s="58">
        <v>0.03</v>
      </c>
      <c r="G24">
        <f t="dataTable" ref="G24:J27" dt2D="1" dtr="1" r1="D24" r2="D25"/>
        <v>1006.5521948347201</v>
      </c>
      <c r="H24">
        <v>986.72072738530335</v>
      </c>
      <c r="I24">
        <v>830.76215003618586</v>
      </c>
      <c r="J24">
        <v>769.23563435669882</v>
      </c>
    </row>
    <row r="25" spans="2:10" x14ac:dyDescent="0.3">
      <c r="B25" t="str">
        <f>B20</f>
        <v>Terminal Growth Rate</v>
      </c>
      <c r="D25" s="4">
        <f>D20</f>
        <v>5.5E-2</v>
      </c>
      <c r="F25" s="58">
        <v>0.04</v>
      </c>
      <c r="G25">
        <v>1138.3947284336209</v>
      </c>
      <c r="H25">
        <v>1111.5142118746219</v>
      </c>
      <c r="I25">
        <v>907.67029463554479</v>
      </c>
      <c r="J25">
        <v>830.76215003618586</v>
      </c>
    </row>
    <row r="26" spans="2:10" ht="15" thickBot="1" x14ac:dyDescent="0.35">
      <c r="B26" s="80" t="s">
        <v>221</v>
      </c>
      <c r="C26" s="80"/>
      <c r="D26" s="80">
        <f>D23/(D24-D25)</f>
        <v>120845.9169677402</v>
      </c>
      <c r="F26" s="58">
        <v>5.5E-2</v>
      </c>
      <c r="G26">
        <v>1446.027306831056</v>
      </c>
      <c r="H26" s="96">
        <v>1398.6992178468352</v>
      </c>
      <c r="I26">
        <v>1067.4025949572899</v>
      </c>
      <c r="J26">
        <v>953.8151813951597</v>
      </c>
    </row>
    <row r="27" spans="2:10" ht="15" thickTop="1" x14ac:dyDescent="0.3">
      <c r="F27" s="58">
        <v>7.0000000000000007E-2</v>
      </c>
      <c r="G27">
        <v>2061.2924636259258</v>
      </c>
      <c r="H27">
        <v>1956.8134747362312</v>
      </c>
      <c r="I27">
        <v>1322.9742754720821</v>
      </c>
      <c r="J27">
        <v>1138.3947284336211</v>
      </c>
    </row>
    <row r="29" spans="2:10" x14ac:dyDescent="0.3">
      <c r="B29" s="12" t="s">
        <v>222</v>
      </c>
      <c r="C29" s="12"/>
      <c r="D29" s="12"/>
    </row>
    <row r="30" spans="2:10" x14ac:dyDescent="0.3">
      <c r="B30" t="s">
        <v>215</v>
      </c>
      <c r="D30" s="16">
        <f>SUM(G16:K16)</f>
        <v>15729.611614062029</v>
      </c>
    </row>
    <row r="31" spans="2:10" x14ac:dyDescent="0.3">
      <c r="B31" t="s">
        <v>223</v>
      </c>
      <c r="D31" s="16">
        <f>D26*K15</f>
        <v>78133.983472233274</v>
      </c>
    </row>
    <row r="32" spans="2:10" x14ac:dyDescent="0.3">
      <c r="B32" t="s">
        <v>224</v>
      </c>
      <c r="D32" s="16">
        <f>SUM(D30:D31)</f>
        <v>93863.595086295303</v>
      </c>
    </row>
    <row r="33" spans="2:4" x14ac:dyDescent="0.3">
      <c r="D33" s="16"/>
    </row>
    <row r="34" spans="2:4" x14ac:dyDescent="0.3">
      <c r="B34" t="s">
        <v>225</v>
      </c>
      <c r="D34" s="16">
        <f>'Data Sheet'!K69</f>
        <v>234.88</v>
      </c>
    </row>
    <row r="35" spans="2:4" x14ac:dyDescent="0.3">
      <c r="B35" t="s">
        <v>226</v>
      </c>
      <c r="D35" s="16">
        <f>'Data Collection'!N6+'Data Collection'!N7</f>
        <v>1746</v>
      </c>
    </row>
    <row r="36" spans="2:4" x14ac:dyDescent="0.3">
      <c r="D36" s="16"/>
    </row>
    <row r="37" spans="2:4" x14ac:dyDescent="0.3">
      <c r="B37" t="s">
        <v>227</v>
      </c>
      <c r="D37" s="16">
        <f>D32+D34-D35</f>
        <v>92352.475086295308</v>
      </c>
    </row>
    <row r="39" spans="2:4" x14ac:dyDescent="0.3">
      <c r="B39" t="s">
        <v>228</v>
      </c>
      <c r="D39">
        <f>'Data Sheet'!K93</f>
        <v>65.98</v>
      </c>
    </row>
    <row r="41" spans="2:4" x14ac:dyDescent="0.3">
      <c r="B41" t="s">
        <v>229</v>
      </c>
      <c r="D41" s="16">
        <f>D37/D39</f>
        <v>1399.704078300929</v>
      </c>
    </row>
    <row r="43" spans="2:4" x14ac:dyDescent="0.3">
      <c r="B43" t="s">
        <v>230</v>
      </c>
      <c r="D43" s="59">
        <v>422.5</v>
      </c>
    </row>
    <row r="45" spans="2:4" x14ac:dyDescent="0.3">
      <c r="B45" t="s">
        <v>231</v>
      </c>
      <c r="D45" s="94">
        <f>D41/D43</f>
        <v>3.3129090610672876</v>
      </c>
    </row>
  </sheetData>
  <mergeCells count="1">
    <mergeCell ref="F22:J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E044-4F5A-4D82-9D5C-41B982E118A7}">
  <sheetPr>
    <tabColor rgb="FF7030A0"/>
  </sheetPr>
  <dimension ref="B2:P31"/>
  <sheetViews>
    <sheetView showGridLines="0" topLeftCell="B3" workbookViewId="0">
      <selection activeCell="N7" sqref="N7"/>
    </sheetView>
  </sheetViews>
  <sheetFormatPr defaultRowHeight="14.4" x14ac:dyDescent="0.3"/>
  <cols>
    <col min="1" max="1" width="1.88671875" customWidth="1"/>
    <col min="2" max="2" width="18.21875" customWidth="1"/>
    <col min="5" max="5" width="11.21875" customWidth="1"/>
    <col min="7" max="7" width="12.33203125" customWidth="1"/>
    <col min="8" max="8" width="10.33203125" customWidth="1"/>
    <col min="9" max="9" width="1.88671875" customWidth="1"/>
    <col min="13" max="13" width="1.88671875" customWidth="1"/>
    <col min="14" max="14" width="11.77734375" customWidth="1"/>
    <col min="15" max="15" width="11.44140625" customWidth="1"/>
  </cols>
  <sheetData>
    <row r="2" spans="2:16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6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6" x14ac:dyDescent="0.3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6" x14ac:dyDescent="0.3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6" x14ac:dyDescent="0.3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6" x14ac:dyDescent="0.3"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2:16" s="97" customFormat="1" x14ac:dyDescent="0.3"/>
    <row r="9" spans="2:16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2:16" ht="28.8" x14ac:dyDescent="0.3">
      <c r="B10" s="12" t="s">
        <v>240</v>
      </c>
      <c r="C10" s="12" t="s">
        <v>241</v>
      </c>
      <c r="D10" s="98" t="s">
        <v>242</v>
      </c>
      <c r="E10" s="98" t="s">
        <v>243</v>
      </c>
      <c r="F10" s="98" t="s">
        <v>112</v>
      </c>
      <c r="G10" s="98" t="s">
        <v>45</v>
      </c>
      <c r="H10" s="98" t="s">
        <v>244</v>
      </c>
      <c r="I10" s="98"/>
      <c r="J10" s="12" t="s">
        <v>65</v>
      </c>
      <c r="K10" s="12" t="s">
        <v>245</v>
      </c>
      <c r="L10" s="12" t="s">
        <v>246</v>
      </c>
      <c r="M10" s="12"/>
      <c r="N10" s="12" t="s">
        <v>247</v>
      </c>
      <c r="O10" s="12" t="s">
        <v>248</v>
      </c>
      <c r="P10" s="12" t="s">
        <v>249</v>
      </c>
    </row>
    <row r="12" spans="2:16" x14ac:dyDescent="0.3">
      <c r="B12" s="14" t="str">
        <f>'COMP DATA'!C3</f>
        <v>Jubilant Food.</v>
      </c>
      <c r="C12" s="14"/>
      <c r="D12" s="16">
        <f>'COMP DATA'!D3</f>
        <v>422.1</v>
      </c>
      <c r="E12" s="16">
        <f>'COMP DATA'!E3</f>
        <v>65.98</v>
      </c>
      <c r="F12" s="16">
        <f>'COMP DATA'!F3</f>
        <v>4902.22</v>
      </c>
      <c r="G12" s="16">
        <f>'COMP DATA'!G3</f>
        <v>27852.080000000002</v>
      </c>
      <c r="H12" s="16">
        <f>'COMP DATA'!H3</f>
        <v>32519.420000000002</v>
      </c>
      <c r="I12" s="16"/>
      <c r="J12" s="16">
        <f>'COMP DATA'!I3</f>
        <v>2031.02</v>
      </c>
      <c r="K12" s="16">
        <f>'COMP DATA'!J3</f>
        <v>9838.4599999999991</v>
      </c>
      <c r="L12" s="16">
        <f>'COMP DATA'!K3</f>
        <v>449.93</v>
      </c>
      <c r="M12" s="14"/>
      <c r="N12" s="100">
        <f>H12/J12</f>
        <v>16.011373595533279</v>
      </c>
      <c r="O12" s="100">
        <f>H12/K12</f>
        <v>3.3053364042746534</v>
      </c>
      <c r="P12" s="100">
        <f>G12/L12</f>
        <v>61.903140488520442</v>
      </c>
    </row>
    <row r="13" spans="2:16" x14ac:dyDescent="0.3">
      <c r="B13" t="str">
        <f>'COMP DATA'!C4</f>
        <v>Travel Food</v>
      </c>
      <c r="D13" s="16">
        <f>'COMP DATA'!D4</f>
        <v>1200.5999999999999</v>
      </c>
      <c r="E13" s="16">
        <f>'COMP DATA'!E4</f>
        <v>13.17</v>
      </c>
      <c r="F13" s="16">
        <f>'COMP DATA'!F4</f>
        <v>244.79</v>
      </c>
      <c r="G13" s="16">
        <f>'COMP DATA'!G4</f>
        <v>15813.82</v>
      </c>
      <c r="H13" s="16">
        <f>'COMP DATA'!H4</f>
        <v>15999.25</v>
      </c>
      <c r="I13" s="16"/>
      <c r="J13" s="16">
        <f>'COMP DATA'!I4</f>
        <v>854.82999999999993</v>
      </c>
      <c r="K13" s="16">
        <f>'COMP DATA'!J4</f>
        <v>1724.96</v>
      </c>
      <c r="L13" s="16">
        <f>'COMP DATA'!K4</f>
        <v>486.11</v>
      </c>
      <c r="N13" s="99">
        <f t="shared" ref="N13:N16" si="0">H13/J13</f>
        <v>18.7162944679059</v>
      </c>
      <c r="O13" s="99">
        <f t="shared" ref="O13:O16" si="1">H13/K13</f>
        <v>9.2751426120025968</v>
      </c>
      <c r="P13" s="99">
        <f t="shared" ref="P13:P16" si="2">G13/L13</f>
        <v>32.53136121453992</v>
      </c>
    </row>
    <row r="14" spans="2:16" x14ac:dyDescent="0.3">
      <c r="B14" t="str">
        <f>'COMP DATA'!C5</f>
        <v>Devyani Intl.</v>
      </c>
      <c r="D14" s="16">
        <f>'COMP DATA'!D5</f>
        <v>121.5</v>
      </c>
      <c r="E14" s="16">
        <f>'COMP DATA'!E5</f>
        <v>123.29</v>
      </c>
      <c r="F14" s="16">
        <f>'COMP DATA'!F5</f>
        <v>3833.15</v>
      </c>
      <c r="G14" s="16">
        <f>'COMP DATA'!G5</f>
        <v>14980.21</v>
      </c>
      <c r="H14" s="16">
        <f>'COMP DATA'!H5</f>
        <v>18318.560000000001</v>
      </c>
      <c r="I14" s="16"/>
      <c r="J14" s="16">
        <f>'COMP DATA'!I5</f>
        <v>948.36999999999989</v>
      </c>
      <c r="K14" s="16">
        <f>'COMP DATA'!J5</f>
        <v>5835.03</v>
      </c>
      <c r="L14" s="16">
        <f>'COMP DATA'!K5</f>
        <v>-27.66</v>
      </c>
      <c r="N14" s="99">
        <f t="shared" si="0"/>
        <v>19.315836646034779</v>
      </c>
      <c r="O14" s="99">
        <f t="shared" si="1"/>
        <v>3.1394114511836277</v>
      </c>
      <c r="P14" s="99">
        <f t="shared" si="2"/>
        <v>-541.58387563268252</v>
      </c>
    </row>
    <row r="15" spans="2:16" x14ac:dyDescent="0.3">
      <c r="B15" t="str">
        <f>'COMP DATA'!C6</f>
        <v>Westlife Food</v>
      </c>
      <c r="D15" s="16">
        <f>'COMP DATA'!D6</f>
        <v>581.29999999999995</v>
      </c>
      <c r="E15" s="16">
        <f>'COMP DATA'!E6</f>
        <v>15.59</v>
      </c>
      <c r="F15" s="16">
        <f>'COMP DATA'!F6</f>
        <v>1804.79</v>
      </c>
      <c r="G15" s="16">
        <f>'COMP DATA'!G6</f>
        <v>9064.57</v>
      </c>
      <c r="H15" s="16">
        <f>'COMP DATA'!H6</f>
        <v>10852.43</v>
      </c>
      <c r="I15" s="16"/>
      <c r="J15" s="16">
        <f>'COMP DATA'!I6</f>
        <v>375.65</v>
      </c>
      <c r="K15" s="16">
        <f>'COMP DATA'!J6</f>
        <v>2703.57</v>
      </c>
      <c r="L15" s="16">
        <f>'COMP DATA'!K6</f>
        <v>31.7</v>
      </c>
      <c r="N15" s="99">
        <f t="shared" si="0"/>
        <v>28.889737787834424</v>
      </c>
      <c r="O15" s="99">
        <f t="shared" si="1"/>
        <v>4.0141109717891528</v>
      </c>
      <c r="P15" s="99">
        <f t="shared" si="2"/>
        <v>285.94858044164039</v>
      </c>
    </row>
    <row r="16" spans="2:16" x14ac:dyDescent="0.3">
      <c r="B16" t="str">
        <f>'COMP DATA'!C7</f>
        <v>Restaurant Brand</v>
      </c>
      <c r="D16" s="16">
        <f>'COMP DATA'!D7</f>
        <v>92.32</v>
      </c>
      <c r="E16" s="16">
        <f>'COMP DATA'!E7</f>
        <v>71.22</v>
      </c>
      <c r="F16" s="16">
        <f>'COMP DATA'!F7</f>
        <v>1967</v>
      </c>
      <c r="G16" s="16">
        <f>'COMP DATA'!G7</f>
        <v>6575.21</v>
      </c>
      <c r="H16" s="16">
        <f>'COMP DATA'!H7</f>
        <v>8483.2999999999993</v>
      </c>
      <c r="I16" s="16"/>
      <c r="J16" s="16">
        <f>'COMP DATA'!I7</f>
        <v>402.11</v>
      </c>
      <c r="K16" s="16">
        <f>'COMP DATA'!J7</f>
        <v>2947.53</v>
      </c>
      <c r="L16" s="16">
        <f>'COMP DATA'!K7</f>
        <v>-191.72</v>
      </c>
      <c r="N16" s="99">
        <f t="shared" si="0"/>
        <v>21.096963517445474</v>
      </c>
      <c r="O16" s="99">
        <f t="shared" si="1"/>
        <v>2.8781047181877701</v>
      </c>
      <c r="P16" s="99">
        <f t="shared" si="2"/>
        <v>-34.295900271228874</v>
      </c>
    </row>
    <row r="18" spans="2:16" x14ac:dyDescent="0.3">
      <c r="B18" s="14" t="s">
        <v>136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00">
        <f>MAX(N12:N16)</f>
        <v>28.889737787834424</v>
      </c>
      <c r="O18" s="100">
        <f t="shared" ref="O18:P18" si="3">MAX(O12:O16)</f>
        <v>9.2751426120025968</v>
      </c>
      <c r="P18" s="100">
        <f t="shared" si="3"/>
        <v>285.94858044164039</v>
      </c>
    </row>
    <row r="19" spans="2:16" x14ac:dyDescent="0.3">
      <c r="B19" s="14" t="s">
        <v>254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99">
        <f>QUARTILE(N12:N16,)</f>
        <v>16.011373595533279</v>
      </c>
      <c r="O19" s="99">
        <f t="shared" ref="O19:P19" si="4">QUARTILE(O12:O16,)</f>
        <v>2.8781047181877701</v>
      </c>
      <c r="P19" s="99">
        <f t="shared" si="4"/>
        <v>-541.58387563268252</v>
      </c>
    </row>
    <row r="20" spans="2:16" x14ac:dyDescent="0.3">
      <c r="B20" s="14" t="s">
        <v>138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00">
        <f>AVERAGE(N12:N16)</f>
        <v>20.806041202950773</v>
      </c>
      <c r="O20" s="100">
        <f t="shared" ref="O20:P20" si="5">AVERAGE(O12:O16)</f>
        <v>4.5224212314875603</v>
      </c>
      <c r="P20" s="100">
        <f t="shared" si="5"/>
        <v>-39.099338751842126</v>
      </c>
    </row>
    <row r="21" spans="2:16" x14ac:dyDescent="0.3">
      <c r="B21" s="14" t="s">
        <v>139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00">
        <f>MEDIAN(N12:N16)</f>
        <v>19.315836646034779</v>
      </c>
      <c r="O21" s="100">
        <f t="shared" ref="O21:P21" si="6">MEDIAN(O12:O16)</f>
        <v>3.3053364042746534</v>
      </c>
      <c r="P21" s="100">
        <f t="shared" si="6"/>
        <v>32.53136121453992</v>
      </c>
    </row>
    <row r="22" spans="2:16" x14ac:dyDescent="0.3">
      <c r="B22" s="14" t="s">
        <v>255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99">
        <f>QUARTILE(N12:N16,)</f>
        <v>16.011373595533279</v>
      </c>
      <c r="O22" s="99">
        <f t="shared" ref="O22:P22" si="7">QUARTILE(O12:O16,)</f>
        <v>2.8781047181877701</v>
      </c>
      <c r="P22" s="99">
        <f t="shared" si="7"/>
        <v>-541.58387563268252</v>
      </c>
    </row>
    <row r="23" spans="2:16" x14ac:dyDescent="0.3">
      <c r="B23" s="14" t="s">
        <v>137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00">
        <f>MIN(N12:N16)</f>
        <v>16.011373595533279</v>
      </c>
      <c r="O23" s="100">
        <f t="shared" ref="O23:P23" si="8">MIN(O12:O16)</f>
        <v>2.8781047181877701</v>
      </c>
      <c r="P23" s="100">
        <f t="shared" si="8"/>
        <v>-541.58387563268252</v>
      </c>
    </row>
    <row r="25" spans="2:16" x14ac:dyDescent="0.3">
      <c r="B25" s="12" t="s">
        <v>256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tr">
        <f>N10</f>
        <v>EV/EBITDA</v>
      </c>
      <c r="O25" s="12" t="str">
        <f>O10</f>
        <v>EV/ Revenue</v>
      </c>
      <c r="P25" s="12" t="str">
        <f>P10</f>
        <v>P/E</v>
      </c>
    </row>
    <row r="26" spans="2:16" x14ac:dyDescent="0.3">
      <c r="B26" s="97" t="s">
        <v>257</v>
      </c>
      <c r="N26" s="16">
        <f>N28-N27</f>
        <v>34328.630544829553</v>
      </c>
      <c r="O26" s="16">
        <f t="shared" ref="O26:P26" si="9">O28-O27</f>
        <v>27617.200000000001</v>
      </c>
      <c r="P26" s="16">
        <f t="shared" si="9"/>
        <v>9734.6153512579476</v>
      </c>
    </row>
    <row r="27" spans="2:16" x14ac:dyDescent="0.3">
      <c r="B27" s="97" t="s">
        <v>112</v>
      </c>
      <c r="N27" s="16">
        <f>$F$12</f>
        <v>4902.22</v>
      </c>
      <c r="O27" s="16">
        <f t="shared" ref="O27:P27" si="10">$F$12</f>
        <v>4902.22</v>
      </c>
      <c r="P27" s="16">
        <f t="shared" si="10"/>
        <v>4902.22</v>
      </c>
    </row>
    <row r="28" spans="2:16" x14ac:dyDescent="0.3">
      <c r="B28" s="97" t="s">
        <v>258</v>
      </c>
      <c r="N28" s="16">
        <f>N21*J12</f>
        <v>39230.850544829555</v>
      </c>
      <c r="O28" s="16">
        <f>O21*K12</f>
        <v>32519.420000000002</v>
      </c>
      <c r="P28" s="16">
        <f>P21*L12</f>
        <v>14636.835351257947</v>
      </c>
    </row>
    <row r="29" spans="2:16" x14ac:dyDescent="0.3">
      <c r="B29" s="97" t="s">
        <v>259</v>
      </c>
      <c r="N29" s="16">
        <f>'DCF Valuation'!$D$39</f>
        <v>65.98</v>
      </c>
      <c r="O29" s="16">
        <f>'DCF Valuation'!$D$39</f>
        <v>65.98</v>
      </c>
      <c r="P29" s="16">
        <f>'DCF Valuation'!$D$39</f>
        <v>65.98</v>
      </c>
    </row>
    <row r="30" spans="2:16" s="2" customFormat="1" ht="15" thickBot="1" x14ac:dyDescent="0.35">
      <c r="B30" s="80" t="s">
        <v>260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1">
        <f>N28/N29</f>
        <v>594.58700431690738</v>
      </c>
      <c r="O30" s="81">
        <f t="shared" ref="O30:P30" si="11">O28/O29</f>
        <v>492.8678387390118</v>
      </c>
      <c r="P30" s="81">
        <f t="shared" si="11"/>
        <v>221.83745606635262</v>
      </c>
    </row>
    <row r="31" spans="2:16" ht="15" thickTop="1" x14ac:dyDescent="0.3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47F0-F0D0-4252-B2F9-74743FF2CF1A}">
  <sheetPr>
    <tabColor theme="2" tint="-0.249977111117893"/>
  </sheetPr>
  <dimension ref="B2:N14"/>
  <sheetViews>
    <sheetView showGridLines="0" tabSelected="1" topLeftCell="A2" workbookViewId="0">
      <selection activeCell="K16" sqref="K16"/>
    </sheetView>
  </sheetViews>
  <sheetFormatPr defaultRowHeight="14.4" x14ac:dyDescent="0.3"/>
  <cols>
    <col min="1" max="1" width="1.88671875" customWidth="1"/>
  </cols>
  <sheetData>
    <row r="2" spans="2:14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4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4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4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4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2:14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9" spans="2:14" x14ac:dyDescent="0.3">
      <c r="I9" s="103" t="s">
        <v>233</v>
      </c>
      <c r="J9" s="103"/>
      <c r="K9" s="103"/>
      <c r="L9" s="103"/>
      <c r="M9" s="103"/>
      <c r="N9" s="103"/>
    </row>
    <row r="10" spans="2:14" x14ac:dyDescent="0.3">
      <c r="K10" t="s">
        <v>238</v>
      </c>
      <c r="L10" t="s">
        <v>137</v>
      </c>
      <c r="M10" t="s">
        <v>239</v>
      </c>
      <c r="N10" t="s">
        <v>136</v>
      </c>
    </row>
    <row r="11" spans="2:14" x14ac:dyDescent="0.3">
      <c r="I11" t="s">
        <v>234</v>
      </c>
      <c r="K11" s="16">
        <f>'Comp value'!$P$30</f>
        <v>221.83745606635262</v>
      </c>
      <c r="L11" s="16">
        <f>'Comp value'!$P$30</f>
        <v>221.83745606635262</v>
      </c>
      <c r="M11" s="16">
        <f>'Comp value'!$N$30</f>
        <v>594.58700431690738</v>
      </c>
      <c r="N11" s="16">
        <f>'Comp value'!$N$30</f>
        <v>594.58700431690738</v>
      </c>
    </row>
    <row r="12" spans="2:14" x14ac:dyDescent="0.3">
      <c r="I12" t="s">
        <v>235</v>
      </c>
      <c r="K12" s="16">
        <f>'DCF Valuation'!$G$24</f>
        <v>1006.5521948347201</v>
      </c>
      <c r="L12" s="16">
        <f>'DCF Valuation'!$G$24</f>
        <v>1006.5521948347201</v>
      </c>
      <c r="M12" s="16">
        <f>'DCF Valuation'!$G$27</f>
        <v>2061.2924636259258</v>
      </c>
      <c r="N12" s="16">
        <f>'DCF Valuation'!$G$27</f>
        <v>2061.2924636259258</v>
      </c>
    </row>
    <row r="13" spans="2:14" x14ac:dyDescent="0.3">
      <c r="I13" t="s">
        <v>236</v>
      </c>
      <c r="K13" s="16">
        <f>'DCF Valuation'!$H$24</f>
        <v>986.72072738530335</v>
      </c>
      <c r="L13" s="16">
        <f>'DCF Valuation'!$H$24</f>
        <v>986.72072738530335</v>
      </c>
      <c r="M13" s="16">
        <f>'DCF Valuation'!$H$27</f>
        <v>1956.8134747362312</v>
      </c>
      <c r="N13" s="16">
        <f>'DCF Valuation'!$H$27</f>
        <v>1956.8134747362312</v>
      </c>
    </row>
    <row r="14" spans="2:14" x14ac:dyDescent="0.3">
      <c r="I14" t="s">
        <v>237</v>
      </c>
      <c r="K14" s="16">
        <f>'DCF Valuation'!$J$24</f>
        <v>769.23563435669882</v>
      </c>
      <c r="L14" s="16">
        <f>'DCF Valuation'!$J$24</f>
        <v>769.23563435669882</v>
      </c>
      <c r="M14" s="16">
        <f>'DCF Valuation'!$J$27</f>
        <v>1138.3947284336211</v>
      </c>
      <c r="N14" s="16">
        <f>'DCF Valuation'!$J$27</f>
        <v>1138.3947284336211</v>
      </c>
    </row>
  </sheetData>
  <mergeCells count="1">
    <mergeCell ref="I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Dashboard</vt:lpstr>
      <vt:lpstr>Instructions</vt:lpstr>
      <vt:lpstr>Data Sheet</vt:lpstr>
      <vt:lpstr>COMP DATA</vt:lpstr>
      <vt:lpstr>Data Collection</vt:lpstr>
      <vt:lpstr>Historical Financial Statment</vt:lpstr>
      <vt:lpstr>WACC</vt:lpstr>
      <vt:lpstr>Growth Rate</vt:lpstr>
      <vt:lpstr>DCF Valuation</vt:lpstr>
      <vt:lpstr>Comp value</vt:lpstr>
      <vt:lpstr>Football Field 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Anshul Bhatt</cp:lastModifiedBy>
  <cp:lastPrinted>2012-12-06T18:14:13Z</cp:lastPrinted>
  <dcterms:created xsi:type="dcterms:W3CDTF">2012-08-17T09:55:37Z</dcterms:created>
  <dcterms:modified xsi:type="dcterms:W3CDTF">2026-10-16T11:46:28Z</dcterms:modified>
</cp:coreProperties>
</file>